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/>
  <mc:AlternateContent xmlns:mc="http://schemas.openxmlformats.org/markup-compatibility/2006">
    <mc:Choice Requires="x15">
      <x15ac:absPath xmlns:x15ac="http://schemas.microsoft.com/office/spreadsheetml/2010/11/ac" url="C:\Users\pnnat\OneDrive\Documents\2026 KASIR\3. MARET 2026\"/>
    </mc:Choice>
  </mc:AlternateContent>
  <xr:revisionPtr revIDLastSave="0" documentId="13_ncr:1_{657D83A3-4D46-4C2B-996A-9E5AC1C4DC1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MARET" sheetId="4" r:id="rId1"/>
    <sheet name="LAP MARET" sheetId="2" r:id="rId2"/>
    <sheet name="REKAP" sheetId="3" r:id="rId3"/>
    <sheet name="EKS" sheetId="5" r:id="rId4"/>
    <sheet name="KONSINYATIE" sheetId="6" r:id="rId5"/>
    <sheet name="Sheet1" sheetId="7" r:id="rId6"/>
    <sheet name="Sheet2" sheetId="8" r:id="rId7"/>
    <sheet name="Sheet3" sheetId="9" r:id="rId8"/>
  </sheets>
  <definedNames>
    <definedName name="_xlnm.Print_Area" localSheetId="1">'LAP MARET'!$A$4:$F$41</definedName>
    <definedName name="_xlnm.Print_Area" localSheetId="0">MARET!$A$1:$R$399</definedName>
    <definedName name="_xlnm.Print_Area" localSheetId="2">REKAP!$A$1:$T$176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1" i="2" l="1"/>
  <c r="E18" i="9" l="1"/>
  <c r="D18" i="9"/>
  <c r="E20" i="9" s="1"/>
  <c r="I22" i="2" l="1"/>
  <c r="H61" i="4"/>
  <c r="J11" i="4" l="1"/>
  <c r="L95" i="3" l="1"/>
  <c r="L96" i="3"/>
  <c r="E294" i="4" l="1"/>
  <c r="D294" i="4"/>
  <c r="L97" i="3" l="1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E236" i="4" l="1"/>
  <c r="E146" i="4"/>
  <c r="E114" i="4"/>
  <c r="H32" i="4" l="1"/>
  <c r="L171" i="3"/>
  <c r="D146" i="4" l="1"/>
  <c r="L4" i="3" l="1"/>
  <c r="E397" i="4" l="1"/>
  <c r="D397" i="4"/>
  <c r="E387" i="4" l="1"/>
  <c r="D387" i="4"/>
  <c r="E374" i="4"/>
  <c r="D374" i="4"/>
  <c r="J27" i="7" l="1"/>
  <c r="E50" i="4" l="1"/>
  <c r="E25" i="4" l="1"/>
  <c r="D25" i="4"/>
  <c r="L23" i="2" l="1"/>
  <c r="L22" i="2"/>
  <c r="L24" i="2" s="1"/>
  <c r="N20" i="7" l="1"/>
  <c r="P20" i="7"/>
  <c r="N9" i="7"/>
  <c r="N7" i="7"/>
  <c r="N8" i="7"/>
  <c r="N6" i="7"/>
  <c r="P22" i="7" l="1"/>
  <c r="D262" i="4"/>
  <c r="E262" i="4"/>
  <c r="D114" i="4" l="1"/>
  <c r="M175" i="3"/>
  <c r="C175" i="3"/>
  <c r="D175" i="3"/>
  <c r="E175" i="3"/>
  <c r="F175" i="3"/>
  <c r="G175" i="3"/>
  <c r="F20" i="2" s="1"/>
  <c r="H175" i="3"/>
  <c r="I175" i="3"/>
  <c r="J175" i="3"/>
  <c r="K175" i="3"/>
  <c r="N175" i="3"/>
  <c r="O175" i="3"/>
  <c r="P175" i="3"/>
  <c r="Q175" i="3"/>
  <c r="R175" i="3"/>
  <c r="H176" i="3" l="1"/>
  <c r="M176" i="3"/>
  <c r="C176" i="3"/>
  <c r="D4" i="8"/>
  <c r="F14" i="8" s="1"/>
  <c r="D14" i="8"/>
  <c r="L172" i="3" l="1"/>
  <c r="L173" i="3"/>
  <c r="L174" i="3"/>
  <c r="L175" i="3" l="1"/>
  <c r="R25" i="4"/>
  <c r="P31" i="4"/>
  <c r="D236" i="4" l="1"/>
  <c r="B175" i="3" l="1"/>
  <c r="A175" i="3"/>
  <c r="F22" i="2" l="1"/>
  <c r="E162" i="4"/>
  <c r="D162" i="4"/>
  <c r="D50" i="4" l="1"/>
  <c r="G29" i="7" l="1"/>
  <c r="F31" i="7"/>
  <c r="G9" i="7" l="1"/>
  <c r="F18" i="7"/>
  <c r="F12" i="7"/>
  <c r="I300" i="4" l="1"/>
  <c r="D355" i="4" l="1"/>
  <c r="E355" i="4"/>
  <c r="E312" i="4" l="1"/>
  <c r="D312" i="4"/>
  <c r="E274" i="4" l="1"/>
  <c r="D274" i="4"/>
  <c r="H5" i="4" l="1"/>
  <c r="H27" i="4"/>
  <c r="H28" i="4" s="1"/>
  <c r="H4" i="4"/>
  <c r="H38" i="4" l="1"/>
  <c r="H6" i="4"/>
  <c r="H39" i="4" s="1"/>
  <c r="K180" i="3"/>
  <c r="H2" i="4"/>
  <c r="F21" i="2" l="1"/>
  <c r="N179" i="3" l="1"/>
  <c r="D13" i="2"/>
  <c r="D12" i="2"/>
  <c r="I8" i="2" s="1"/>
  <c r="I23" i="2" s="1"/>
  <c r="F19" i="2"/>
  <c r="F24" i="2"/>
  <c r="F25" i="2"/>
  <c r="F17" i="2"/>
  <c r="F14" i="2"/>
  <c r="F23" i="2" l="1"/>
  <c r="G26" i="2" s="1"/>
  <c r="L17" i="2" s="1"/>
  <c r="J176" i="3"/>
  <c r="K179" i="3"/>
  <c r="B9" i="6" l="1"/>
  <c r="C9" i="6"/>
  <c r="D9" i="6"/>
  <c r="E9" i="6"/>
  <c r="F9" i="6"/>
  <c r="G9" i="6"/>
  <c r="H9" i="6"/>
  <c r="I9" i="6"/>
  <c r="B15" i="5"/>
  <c r="C15" i="5"/>
  <c r="D15" i="5"/>
  <c r="E15" i="5"/>
  <c r="F15" i="5"/>
  <c r="G15" i="5"/>
  <c r="H15" i="5"/>
  <c r="I15" i="5"/>
  <c r="J15" i="5"/>
  <c r="K15" i="5"/>
  <c r="L15" i="5"/>
  <c r="M15" i="5"/>
  <c r="N15" i="5"/>
  <c r="A15" i="5"/>
  <c r="A9" i="6"/>
  <c r="E19" i="5" l="1"/>
  <c r="E13" i="6"/>
  <c r="B299" i="3" l="1"/>
  <c r="A299" i="3"/>
  <c r="E18" i="5" l="1"/>
  <c r="E12" i="6"/>
  <c r="N180" i="3" l="1"/>
  <c r="N181" i="3" s="1"/>
  <c r="D31" i="2"/>
  <c r="F27" i="2" s="1"/>
  <c r="I27" i="2" s="1"/>
  <c r="J29" i="2" l="1"/>
  <c r="I30" i="2" s="1"/>
  <c r="J32" i="2" l="1"/>
  <c r="F31" i="2"/>
  <c r="K181" i="3"/>
  <c r="J34" i="4"/>
  <c r="L19" i="2"/>
  <c r="L18" i="2" s="1"/>
</calcChain>
</file>

<file path=xl/sharedStrings.xml><?xml version="1.0" encoding="utf-8"?>
<sst xmlns="http://schemas.openxmlformats.org/spreadsheetml/2006/main" count="410" uniqueCount="175">
  <si>
    <t>BUKU KAS BANTU</t>
  </si>
  <si>
    <t>NO</t>
  </si>
  <si>
    <t>NOMOR PERKARA</t>
  </si>
  <si>
    <t>URAIAN</t>
  </si>
  <si>
    <t>PENERIMAAN</t>
  </si>
  <si>
    <t>PENGELUARAN</t>
  </si>
  <si>
    <t>KET</t>
  </si>
  <si>
    <t>SALDO BULAN LALU</t>
  </si>
  <si>
    <t>PNBP</t>
  </si>
  <si>
    <t>JUMLAH</t>
  </si>
  <si>
    <t>PANITERA</t>
  </si>
  <si>
    <t>KASIR</t>
  </si>
  <si>
    <t>LAPORAN KEUANGAN PERKARA PERDATA</t>
  </si>
  <si>
    <t>U  R  A  I  A  N</t>
  </si>
  <si>
    <t xml:space="preserve">J U M L A H </t>
  </si>
  <si>
    <t>URUT</t>
  </si>
  <si>
    <t>Sisa Awal ……………...…….……………</t>
  </si>
  <si>
    <t>Rp</t>
  </si>
  <si>
    <t>Penerimaan Bulan ini …….……..…..……</t>
  </si>
  <si>
    <t>Biaya Panggilan ………………………….</t>
  </si>
  <si>
    <t>Biaya Penerjemah …………..……………</t>
  </si>
  <si>
    <t>-</t>
  </si>
  <si>
    <t>Biaya Sita ……………….……….……….</t>
  </si>
  <si>
    <t>Biaya Pemeriksaan Setempat ………..….</t>
  </si>
  <si>
    <t>Biaya Sumpah ……………………..…..…</t>
  </si>
  <si>
    <t>Biaya Pemberitahuan ……….…….……..</t>
  </si>
  <si>
    <t>Pengiriman Biaya Perkara ……….….….</t>
  </si>
  <si>
    <t>Materai …………………………....…..….</t>
  </si>
  <si>
    <t>Hak-Hak Kepaniteraan ………...….…….</t>
  </si>
  <si>
    <t xml:space="preserve">Pengembalian Sisa Panjar Biaya Perkara </t>
  </si>
  <si>
    <t>Sisa Akhir   ( Saldo) …………..……..….</t>
  </si>
  <si>
    <t>MENGETAHUI :</t>
  </si>
  <si>
    <t>Biaya Proses ……………………….</t>
  </si>
  <si>
    <t>ATK ……………………….</t>
  </si>
  <si>
    <t>PDF</t>
  </si>
  <si>
    <t>ATK</t>
  </si>
  <si>
    <t>Jumlah</t>
  </si>
  <si>
    <t>PBT</t>
  </si>
  <si>
    <t>MATERAI</t>
  </si>
  <si>
    <t>BANDING</t>
  </si>
  <si>
    <t>KASASI</t>
  </si>
  <si>
    <t>REDAKSI</t>
  </si>
  <si>
    <t>MASUK</t>
  </si>
  <si>
    <t>KELUAR</t>
  </si>
  <si>
    <t>TOTAL KEL</t>
  </si>
  <si>
    <t>TOTAL BUKAS</t>
  </si>
  <si>
    <t>SELISIH</t>
  </si>
  <si>
    <t>PK</t>
  </si>
  <si>
    <t>PEMASUKAN</t>
  </si>
  <si>
    <t>PENAWARAN</t>
  </si>
  <si>
    <t>LEGES</t>
  </si>
  <si>
    <t>PGMBLN UANG KONS</t>
  </si>
  <si>
    <t>SITA EKS</t>
  </si>
  <si>
    <t>UPAH JS</t>
  </si>
  <si>
    <t>PENGUMUMAN LLG</t>
  </si>
  <si>
    <t>UPAH JR LLG</t>
  </si>
  <si>
    <t>BIAYA LLG</t>
  </si>
  <si>
    <t>SAKSI</t>
  </si>
  <si>
    <t>KEAMANAN</t>
  </si>
  <si>
    <t>SS PANJAR</t>
  </si>
  <si>
    <t>BLL</t>
  </si>
  <si>
    <t>KONS pidana</t>
  </si>
  <si>
    <t>UG AMBIL</t>
  </si>
  <si>
    <t>SISA</t>
  </si>
  <si>
    <t>SISA BULAN LL</t>
  </si>
  <si>
    <t>TOTAL</t>
  </si>
  <si>
    <t>REK</t>
  </si>
  <si>
    <t>PENGADILAN NEGERI RANAI</t>
  </si>
  <si>
    <t>JML</t>
  </si>
  <si>
    <t>Jl. Batu Sisir - Kota Ranai Kec. Bunguran Timur Kab. Natuna</t>
  </si>
  <si>
    <t>HENDRIK HATORANGAN, S.H.</t>
  </si>
  <si>
    <t>KONS</t>
  </si>
  <si>
    <t>SALDO BANK</t>
  </si>
  <si>
    <t>UANG PIHAK K3 DI BANK</t>
  </si>
  <si>
    <t>UANG KAS LL</t>
  </si>
  <si>
    <t>SISA KAS</t>
  </si>
  <si>
    <t>PANGGILAN</t>
  </si>
  <si>
    <t>PEMBERITAHUAN</t>
  </si>
  <si>
    <t>PENDAFTARAN</t>
  </si>
  <si>
    <t>HAK-HAK KEPANITERAAN</t>
  </si>
  <si>
    <t>BIAYA PENGIRIMAN (BANDING, KASASI, PK)</t>
  </si>
  <si>
    <t>BIAYA PEMBERKASAN DAN PENJILIDAN BERKAS UPAYA HUKUM</t>
  </si>
  <si>
    <t>PENGEMBALIAN SISA PANJAR</t>
  </si>
  <si>
    <t>PEMERIKSAAN SETEMPAT</t>
  </si>
  <si>
    <t>TOTAL PENGELUARAN</t>
  </si>
  <si>
    <t>TK I (PERMOHONAN, GUGATAN, BANTAHAN, GUGATAN SEDERHANA, GUGATAN PERLAWANAN)</t>
  </si>
  <si>
    <t>PNBP LAIN-LAIN</t>
  </si>
  <si>
    <t>TOTAL MASUK</t>
  </si>
  <si>
    <t>TOTAL BUKU KAS</t>
  </si>
  <si>
    <t xml:space="preserve">SELISIH </t>
  </si>
  <si>
    <t>ERA TRISNAWATI, SH.</t>
  </si>
  <si>
    <t>NIP. 19850723 201212 2 001</t>
  </si>
  <si>
    <t xml:space="preserve">jumlah </t>
  </si>
  <si>
    <t>=</t>
  </si>
  <si>
    <t>perdata</t>
  </si>
  <si>
    <t>konsinyasi</t>
  </si>
  <si>
    <t>uang tunai</t>
  </si>
  <si>
    <t>saldo bank</t>
  </si>
  <si>
    <t>total</t>
  </si>
  <si>
    <t>Penerimaan</t>
  </si>
  <si>
    <t>Pengeluaran</t>
  </si>
  <si>
    <t>Total</t>
  </si>
  <si>
    <t>Jumlah Penerimaan</t>
  </si>
  <si>
    <t>RINCIAN BIAYA PERKARA NOMOR 1/Pdt.Sus-Parpol/2023/PN Ran</t>
  </si>
  <si>
    <t>1.</t>
  </si>
  <si>
    <t>2.</t>
  </si>
  <si>
    <t>3.</t>
  </si>
  <si>
    <t>4.</t>
  </si>
  <si>
    <t>5.</t>
  </si>
  <si>
    <t>6.</t>
  </si>
  <si>
    <t>Biaya Pendaftaran</t>
  </si>
  <si>
    <t>Biaya Panggilan</t>
  </si>
  <si>
    <t>Redaksi</t>
  </si>
  <si>
    <t>Materai</t>
  </si>
  <si>
    <t>:</t>
  </si>
  <si>
    <t>+</t>
  </si>
  <si>
    <t>sisa</t>
  </si>
  <si>
    <t>pengembalian sisa panjar</t>
  </si>
  <si>
    <t>saldo awal /akhir</t>
  </si>
  <si>
    <t>6/Pdt.G/2022/PN Ran</t>
  </si>
  <si>
    <t>CANIA KIRANA, A.Md.</t>
  </si>
  <si>
    <t xml:space="preserve"> </t>
  </si>
  <si>
    <t>PANJAR PERKARA BANDING P1</t>
  </si>
  <si>
    <t>PANJAR PERKARA BANDING P2</t>
  </si>
  <si>
    <t>PENDAFTARAN BANDING P1</t>
  </si>
  <si>
    <t>PENDAFTARAN BANDING P2</t>
  </si>
  <si>
    <t>PEMBERKASAN / ATK</t>
  </si>
  <si>
    <t>BIAYA PEMBERITAHUAN</t>
  </si>
  <si>
    <t>PENGIRIMAN BERKAS PERKARA</t>
  </si>
  <si>
    <t>PENGIRIMAN BIAYA BANDING</t>
  </si>
  <si>
    <t>6/PDT.G/2022/PN RAN</t>
  </si>
  <si>
    <t>UANG PERKARA DI BANK</t>
  </si>
  <si>
    <t>HADRY B, S.H.</t>
  </si>
  <si>
    <t>PENGADILAN NEGERI NATUNA KELAS II</t>
  </si>
  <si>
    <t>keluar</t>
  </si>
  <si>
    <t>bayar</t>
  </si>
  <si>
    <t>KONSINYASI</t>
  </si>
  <si>
    <t>30 JULI 2025</t>
  </si>
  <si>
    <t>31 JULI 2025</t>
  </si>
  <si>
    <t>Plt. PANITERA MUDA PERDATA</t>
  </si>
  <si>
    <t>3/Pdt.P/2026/PN Ntn</t>
  </si>
  <si>
    <t>Panjar Biaya Perkara</t>
  </si>
  <si>
    <t>Biaya ATK</t>
  </si>
  <si>
    <t>02 MARET 2026</t>
  </si>
  <si>
    <t>BULAN : MARET 2026</t>
  </si>
  <si>
    <t>RANAI, 31 MARET 2026</t>
  </si>
  <si>
    <t>4 MARET 2026</t>
  </si>
  <si>
    <t>4/Pdt.P/2026/PN Ntn</t>
  </si>
  <si>
    <t>3 MARET 2026</t>
  </si>
  <si>
    <t>6 MARET 2026</t>
  </si>
  <si>
    <t>Meterai</t>
  </si>
  <si>
    <t>PNBP Relaas Pemberitahuan Putusan Kepada Penggugat</t>
  </si>
  <si>
    <t>Relaas Pemberitahuan Putusan Kepada Tergugat</t>
  </si>
  <si>
    <t>PNBP Relaas Pemberitahuan Putusan Kepada Tergugat</t>
  </si>
  <si>
    <t>2/Pdt.G/2026/PN Ntn</t>
  </si>
  <si>
    <t>9 MARET 2026</t>
  </si>
  <si>
    <t>Salinan Putusan</t>
  </si>
  <si>
    <t>PNBP Salinan Putusan</t>
  </si>
  <si>
    <t>Pengembalian Sisa Panjar</t>
  </si>
  <si>
    <t>11 MARET 2026</t>
  </si>
  <si>
    <t>10 MARET 2026</t>
  </si>
  <si>
    <t>13 MARET 2026</t>
  </si>
  <si>
    <t>16 MARET 2026</t>
  </si>
  <si>
    <t>30 Maret 2026</t>
  </si>
  <si>
    <t>Biaya Pendaftaran / PNBP</t>
  </si>
  <si>
    <t>Biaya Pemberkasan / ATK</t>
  </si>
  <si>
    <t>3/Pdt.G/2026/PN Ntn</t>
  </si>
  <si>
    <t>30 MARET 2026</t>
  </si>
  <si>
    <t>31 Maret 2026</t>
  </si>
  <si>
    <t>PNBP Relaas Panggilan pertama kepada Penggugat</t>
  </si>
  <si>
    <t>Biaya Panggilan Melalui Surat Tercatat  Kepada Tergugat I</t>
  </si>
  <si>
    <t>PNBP Relaas Panggilan pertama kepada Tergugat I</t>
  </si>
  <si>
    <t>Biaya Panggilan Melalui Surat Tercatat  Kepada Tergugat II</t>
  </si>
  <si>
    <t>PNBP Relaas Panggilan pertama kepada Tergugat II</t>
  </si>
  <si>
    <t>31 MARET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</si>
</sst>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Rp&quot;* #,##0_-;\-&quot;Rp&quot;* #,##0_-;_-&quot;Rp&quot;* &quot;-&quot;_-;_-@_-"/>
    <numFmt numFmtId="41" formatCode="_-* #,##0_-;\-* #,##0_-;_-* &quot;-&quot;_-;_-@_-"/>
    <numFmt numFmtId="164" formatCode="_(&quot;Rp&quot;* #,##0_);_(&quot;Rp&quot;* \(#,##0\);_(&quot;Rp&quot;* &quot;-&quot;_);_(@_)"/>
    <numFmt numFmtId="165" formatCode="_(* #,##0.00_);_(* \(#,##0.00\);_(* &quot;-&quot;??_);_(@_)"/>
    <numFmt numFmtId="166" formatCode="_(* #,##0_);_(* \(#,##0\);_(* &quot;-&quot;??_);_(@_)"/>
    <numFmt numFmtId="167" formatCode="_([$Rp-421]* #,##0_);_([$Rp-421]* \(#,##0\);_([$Rp-421]* &quot;-&quot;_);_(@_)"/>
    <numFmt numFmtId="168" formatCode="_-&quot;Rp&quot;* #,##0.00_-;\-&quot;Rp&quot;* #,##0.00_-;_-&quot;Rp&quot;* &quot;-&quot;_-;_-@_-"/>
    <numFmt numFmtId="169" formatCode="_-[$Rp-3809]* #,##0_-;\-[$Rp-3809]* #,##0_-;_-[$Rp-3809]* &quot;-&quot;??_-;_-@_-"/>
  </numFmts>
  <fonts count="58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4"/>
      <name val="Times New Roman"/>
      <family val="1"/>
    </font>
    <font>
      <b/>
      <u/>
      <sz val="12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b/>
      <sz val="11"/>
      <color theme="1"/>
      <name val="Cambria"/>
      <family val="1"/>
      <scheme val="major"/>
    </font>
    <font>
      <b/>
      <sz val="12"/>
      <name val="Cambria"/>
      <family val="1"/>
      <scheme val="maj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charset val="1"/>
      <scheme val="minor"/>
    </font>
    <font>
      <b/>
      <sz val="10"/>
      <color theme="1"/>
      <name val="Cambria"/>
      <family val="1"/>
      <scheme val="major"/>
    </font>
    <font>
      <sz val="10"/>
      <color theme="1"/>
      <name val="Cambria"/>
      <family val="1"/>
      <scheme val="major"/>
    </font>
    <font>
      <b/>
      <sz val="12"/>
      <color theme="1"/>
      <name val="Arial Narrow"/>
      <family val="2"/>
    </font>
    <font>
      <sz val="12"/>
      <color theme="1"/>
      <name val="Arial Narrow"/>
      <family val="2"/>
    </font>
    <font>
      <u/>
      <sz val="12"/>
      <color theme="1"/>
      <name val="Arial Narrow"/>
      <family val="2"/>
    </font>
    <font>
      <b/>
      <sz val="12"/>
      <name val="Arial Narrow"/>
      <family val="2"/>
    </font>
    <font>
      <sz val="12"/>
      <name val="Arial Narrow"/>
      <family val="2"/>
    </font>
    <font>
      <b/>
      <sz val="11"/>
      <color rgb="FFFF0000"/>
      <name val="Cambria"/>
      <family val="1"/>
      <scheme val="major"/>
    </font>
    <font>
      <sz val="11"/>
      <name val="Calibri"/>
      <family val="2"/>
      <charset val="1"/>
      <scheme val="minor"/>
    </font>
    <font>
      <sz val="11"/>
      <color theme="1"/>
      <name val="Cambria"/>
      <family val="1"/>
      <scheme val="major"/>
    </font>
    <font>
      <b/>
      <u/>
      <sz val="11"/>
      <color theme="1"/>
      <name val="Calibri"/>
      <family val="2"/>
      <scheme val="minor"/>
    </font>
    <font>
      <sz val="10"/>
      <name val="Century Gothic"/>
      <family val="2"/>
    </font>
    <font>
      <sz val="12"/>
      <name val="Arial"/>
      <family val="2"/>
    </font>
    <font>
      <sz val="10"/>
      <name val="Arial"/>
      <family val="2"/>
    </font>
    <font>
      <sz val="11"/>
      <color theme="1"/>
      <name val="Arial Narrow"/>
      <family val="2"/>
    </font>
    <font>
      <sz val="8"/>
      <name val="Calibri"/>
      <family val="2"/>
      <charset val="1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CC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auto="1"/>
      </left>
      <right style="thin">
        <color indexed="64"/>
      </right>
      <top/>
      <bottom/>
      <diagonal/>
    </border>
  </borders>
  <cellStyleXfs count="5">
    <xf numFmtId="0" fontId="0" fillId="0" borderId="0"/>
    <xf numFmtId="165" fontId="27" fillId="0" borderId="0" applyFont="0" applyFill="0" applyBorder="0" applyAlignment="0" applyProtection="0"/>
    <xf numFmtId="42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0" fontId="27" fillId="4" borderId="31" applyNumberFormat="0" applyFont="0" applyAlignment="0" applyProtection="0"/>
  </cellStyleXfs>
  <cellXfs count="321">
    <xf numFmtId="0" fontId="0" fillId="0" borderId="0" xfId="0"/>
    <xf numFmtId="164" fontId="0" fillId="0" borderId="0" xfId="0" applyNumberFormat="1"/>
    <xf numFmtId="0" fontId="31" fillId="0" borderId="0" xfId="0" applyFont="1"/>
    <xf numFmtId="0" fontId="32" fillId="0" borderId="0" xfId="0" applyFont="1" applyAlignment="1">
      <alignment horizontal="center"/>
    </xf>
    <xf numFmtId="0" fontId="33" fillId="0" borderId="0" xfId="0" applyFont="1" applyAlignment="1">
      <alignment vertical="center"/>
    </xf>
    <xf numFmtId="0" fontId="33" fillId="0" borderId="0" xfId="0" applyFont="1" applyAlignment="1">
      <alignment horizontal="center"/>
    </xf>
    <xf numFmtId="0" fontId="34" fillId="0" borderId="0" xfId="0" applyFont="1"/>
    <xf numFmtId="0" fontId="33" fillId="0" borderId="1" xfId="0" applyFont="1" applyBorder="1" applyAlignment="1">
      <alignment horizontal="center"/>
    </xf>
    <xf numFmtId="0" fontId="33" fillId="0" borderId="5" xfId="0" applyFont="1" applyBorder="1" applyAlignment="1">
      <alignment horizontal="center" vertical="center"/>
    </xf>
    <xf numFmtId="0" fontId="33" fillId="0" borderId="8" xfId="0" applyFont="1" applyBorder="1" applyAlignment="1">
      <alignment horizontal="center"/>
    </xf>
    <xf numFmtId="0" fontId="35" fillId="0" borderId="8" xfId="0" applyFont="1" applyBorder="1" applyAlignment="1">
      <alignment horizontal="center"/>
    </xf>
    <xf numFmtId="0" fontId="35" fillId="0" borderId="2" xfId="0" applyFont="1" applyBorder="1" applyAlignment="1">
      <alignment horizontal="center"/>
    </xf>
    <xf numFmtId="0" fontId="35" fillId="0" borderId="4" xfId="0" applyFont="1" applyBorder="1" applyAlignment="1">
      <alignment horizontal="center"/>
    </xf>
    <xf numFmtId="0" fontId="32" fillId="0" borderId="1" xfId="0" applyFont="1" applyBorder="1"/>
    <xf numFmtId="0" fontId="36" fillId="0" borderId="1" xfId="0" applyFont="1" applyBorder="1"/>
    <xf numFmtId="0" fontId="36" fillId="0" borderId="9" xfId="0" applyFont="1" applyBorder="1"/>
    <xf numFmtId="0" fontId="36" fillId="0" borderId="10" xfId="0" applyFont="1" applyBorder="1"/>
    <xf numFmtId="0" fontId="30" fillId="0" borderId="11" xfId="0" applyFont="1" applyBorder="1" applyAlignment="1">
      <alignment horizontal="center"/>
    </xf>
    <xf numFmtId="0" fontId="33" fillId="0" borderId="11" xfId="0" applyFont="1" applyBorder="1"/>
    <xf numFmtId="0" fontId="33" fillId="0" borderId="12" xfId="0" applyFont="1" applyBorder="1"/>
    <xf numFmtId="166" fontId="33" fillId="0" borderId="13" xfId="1" applyNumberFormat="1" applyFont="1" applyBorder="1" applyAlignment="1">
      <alignment horizontal="right" vertical="center"/>
    </xf>
    <xf numFmtId="166" fontId="33" fillId="0" borderId="13" xfId="1" applyNumberFormat="1" applyFont="1" applyBorder="1"/>
    <xf numFmtId="166" fontId="33" fillId="0" borderId="13" xfId="1" applyNumberFormat="1" applyFont="1" applyBorder="1" applyAlignment="1"/>
    <xf numFmtId="3" fontId="33" fillId="0" borderId="13" xfId="1" applyNumberFormat="1" applyFont="1" applyBorder="1" applyAlignment="1">
      <alignment horizontal="right"/>
    </xf>
    <xf numFmtId="0" fontId="32" fillId="0" borderId="11" xfId="0" applyFont="1" applyBorder="1"/>
    <xf numFmtId="0" fontId="35" fillId="0" borderId="11" xfId="0" applyFont="1" applyBorder="1"/>
    <xf numFmtId="0" fontId="35" fillId="0" borderId="12" xfId="0" applyFont="1" applyBorder="1"/>
    <xf numFmtId="0" fontId="32" fillId="0" borderId="5" xfId="0" applyFont="1" applyBorder="1"/>
    <xf numFmtId="0" fontId="35" fillId="0" borderId="5" xfId="0" applyFont="1" applyBorder="1"/>
    <xf numFmtId="0" fontId="35" fillId="0" borderId="9" xfId="0" applyFont="1" applyBorder="1"/>
    <xf numFmtId="166" fontId="33" fillId="0" borderId="10" xfId="1" applyNumberFormat="1" applyFont="1" applyBorder="1"/>
    <xf numFmtId="0" fontId="33" fillId="0" borderId="9" xfId="0" applyFont="1" applyBorder="1"/>
    <xf numFmtId="0" fontId="36" fillId="0" borderId="11" xfId="0" applyFont="1" applyBorder="1"/>
    <xf numFmtId="0" fontId="36" fillId="0" borderId="5" xfId="0" applyFont="1" applyBorder="1"/>
    <xf numFmtId="0" fontId="35" fillId="0" borderId="6" xfId="0" applyFont="1" applyBorder="1"/>
    <xf numFmtId="0" fontId="33" fillId="0" borderId="7" xfId="0" applyFont="1" applyBorder="1"/>
    <xf numFmtId="0" fontId="33" fillId="0" borderId="6" xfId="0" applyFont="1" applyBorder="1"/>
    <xf numFmtId="166" fontId="33" fillId="0" borderId="7" xfId="0" applyNumberFormat="1" applyFont="1" applyBorder="1"/>
    <xf numFmtId="0" fontId="36" fillId="0" borderId="0" xfId="0" applyFont="1"/>
    <xf numFmtId="0" fontId="35" fillId="0" borderId="0" xfId="0" applyFont="1"/>
    <xf numFmtId="0" fontId="32" fillId="0" borderId="0" xfId="0" applyFont="1"/>
    <xf numFmtId="0" fontId="26" fillId="0" borderId="0" xfId="0" applyFont="1"/>
    <xf numFmtId="164" fontId="26" fillId="0" borderId="0" xfId="0" applyNumberFormat="1" applyFont="1"/>
    <xf numFmtId="0" fontId="28" fillId="0" borderId="0" xfId="0" applyFont="1"/>
    <xf numFmtId="164" fontId="37" fillId="0" borderId="0" xfId="0" applyNumberFormat="1" applyFont="1"/>
    <xf numFmtId="164" fontId="38" fillId="0" borderId="13" xfId="1" applyNumberFormat="1" applyFont="1" applyBorder="1" applyAlignment="1">
      <alignment horizontal="right"/>
    </xf>
    <xf numFmtId="0" fontId="26" fillId="0" borderId="0" xfId="0" applyFont="1" applyAlignment="1">
      <alignment horizontal="center" vertical="center"/>
    </xf>
    <xf numFmtId="164" fontId="26" fillId="0" borderId="0" xfId="0" applyNumberFormat="1" applyFont="1" applyAlignment="1">
      <alignment horizontal="center" vertical="center"/>
    </xf>
    <xf numFmtId="164" fontId="25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 wrapText="1"/>
    </xf>
    <xf numFmtId="164" fontId="28" fillId="0" borderId="0" xfId="0" applyNumberFormat="1" applyFont="1"/>
    <xf numFmtId="0" fontId="24" fillId="0" borderId="0" xfId="0" applyFont="1"/>
    <xf numFmtId="164" fontId="23" fillId="0" borderId="0" xfId="0" applyNumberFormat="1" applyFont="1"/>
    <xf numFmtId="164" fontId="28" fillId="0" borderId="0" xfId="0" applyNumberFormat="1" applyFont="1" applyAlignment="1">
      <alignment vertical="center"/>
    </xf>
    <xf numFmtId="0" fontId="28" fillId="0" borderId="0" xfId="0" applyFont="1" applyAlignment="1">
      <alignment vertical="center"/>
    </xf>
    <xf numFmtId="0" fontId="29" fillId="0" borderId="0" xfId="0" applyFont="1" applyAlignment="1">
      <alignment horizontal="center" vertical="center"/>
    </xf>
    <xf numFmtId="164" fontId="21" fillId="0" borderId="0" xfId="0" applyNumberFormat="1" applyFont="1" applyAlignment="1">
      <alignment horizontal="center" vertical="center"/>
    </xf>
    <xf numFmtId="0" fontId="19" fillId="0" borderId="0" xfId="0" applyFont="1"/>
    <xf numFmtId="0" fontId="31" fillId="0" borderId="0" xfId="0" applyFont="1" applyAlignment="1">
      <alignment horizontal="center"/>
    </xf>
    <xf numFmtId="164" fontId="39" fillId="0" borderId="8" xfId="0" applyNumberFormat="1" applyFont="1" applyBorder="1" applyAlignment="1">
      <alignment horizontal="center" vertical="center" wrapText="1"/>
    </xf>
    <xf numFmtId="164" fontId="40" fillId="0" borderId="8" xfId="0" applyNumberFormat="1" applyFont="1" applyBorder="1"/>
    <xf numFmtId="164" fontId="0" fillId="0" borderId="0" xfId="0" applyNumberFormat="1" applyAlignment="1">
      <alignment horizontal="center"/>
    </xf>
    <xf numFmtId="164" fontId="0" fillId="0" borderId="17" xfId="0" applyNumberFormat="1" applyBorder="1"/>
    <xf numFmtId="164" fontId="0" fillId="0" borderId="19" xfId="0" applyNumberFormat="1" applyBorder="1"/>
    <xf numFmtId="164" fontId="0" fillId="0" borderId="20" xfId="0" applyNumberFormat="1" applyBorder="1"/>
    <xf numFmtId="164" fontId="20" fillId="0" borderId="0" xfId="0" applyNumberFormat="1" applyFont="1" applyAlignment="1">
      <alignment horizontal="center" vertical="center"/>
    </xf>
    <xf numFmtId="0" fontId="17" fillId="0" borderId="0" xfId="0" applyFont="1"/>
    <xf numFmtId="0" fontId="16" fillId="0" borderId="0" xfId="0" applyFont="1"/>
    <xf numFmtId="0" fontId="15" fillId="0" borderId="0" xfId="0" applyFont="1"/>
    <xf numFmtId="0" fontId="14" fillId="0" borderId="0" xfId="0" applyFont="1"/>
    <xf numFmtId="164" fontId="42" fillId="0" borderId="8" xfId="0" applyNumberFormat="1" applyFont="1" applyBorder="1" applyAlignment="1">
      <alignment horizontal="center" vertical="center" wrapText="1"/>
    </xf>
    <xf numFmtId="164" fontId="43" fillId="0" borderId="8" xfId="0" applyNumberFormat="1" applyFont="1" applyBorder="1"/>
    <xf numFmtId="0" fontId="18" fillId="0" borderId="0" xfId="0" applyFont="1" applyAlignment="1">
      <alignment horizontal="center" vertical="top" wrapText="1"/>
    </xf>
    <xf numFmtId="0" fontId="13" fillId="0" borderId="0" xfId="0" applyFont="1"/>
    <xf numFmtId="0" fontId="35" fillId="0" borderId="1" xfId="0" applyFont="1" applyBorder="1"/>
    <xf numFmtId="0" fontId="12" fillId="0" borderId="0" xfId="0" applyFont="1"/>
    <xf numFmtId="0" fontId="18" fillId="0" borderId="0" xfId="0" applyFont="1" applyAlignment="1">
      <alignment horizontal="center" vertical="top"/>
    </xf>
    <xf numFmtId="0" fontId="21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12" fillId="0" borderId="0" xfId="0" applyFont="1" applyAlignment="1">
      <alignment wrapText="1"/>
    </xf>
    <xf numFmtId="164" fontId="0" fillId="0" borderId="0" xfId="0" applyNumberFormat="1" applyAlignment="1">
      <alignment wrapText="1"/>
    </xf>
    <xf numFmtId="0" fontId="0" fillId="0" borderId="0" xfId="0" applyAlignment="1">
      <alignment wrapText="1"/>
    </xf>
    <xf numFmtId="164" fontId="41" fillId="0" borderId="4" xfId="0" applyNumberFormat="1" applyFont="1" applyBorder="1" applyAlignment="1">
      <alignment vertical="center" wrapText="1"/>
    </xf>
    <xf numFmtId="164" fontId="41" fillId="0" borderId="8" xfId="0" applyNumberFormat="1" applyFont="1" applyBorder="1" applyAlignment="1">
      <alignment vertical="center" wrapText="1"/>
    </xf>
    <xf numFmtId="164" fontId="41" fillId="0" borderId="23" xfId="0" applyNumberFormat="1" applyFont="1" applyBorder="1" applyAlignment="1">
      <alignment vertical="center" wrapText="1"/>
    </xf>
    <xf numFmtId="164" fontId="41" fillId="0" borderId="20" xfId="0" applyNumberFormat="1" applyFont="1" applyBorder="1" applyAlignment="1">
      <alignment vertical="center" wrapText="1"/>
    </xf>
    <xf numFmtId="164" fontId="28" fillId="0" borderId="0" xfId="0" applyNumberFormat="1" applyFont="1" applyAlignment="1">
      <alignment horizontal="center" vertical="center" wrapText="1"/>
    </xf>
    <xf numFmtId="164" fontId="28" fillId="0" borderId="0" xfId="0" applyNumberFormat="1" applyFont="1" applyAlignment="1">
      <alignment vertical="center" wrapText="1"/>
    </xf>
    <xf numFmtId="0" fontId="28" fillId="0" borderId="0" xfId="0" applyFont="1" applyAlignment="1">
      <alignment vertical="center" wrapText="1"/>
    </xf>
    <xf numFmtId="164" fontId="0" fillId="0" borderId="0" xfId="0" quotePrefix="1" applyNumberFormat="1"/>
    <xf numFmtId="0" fontId="44" fillId="0" borderId="0" xfId="0" applyFont="1" applyAlignment="1">
      <alignment horizontal="center" vertical="center"/>
    </xf>
    <xf numFmtId="0" fontId="44" fillId="0" borderId="0" xfId="0" applyFont="1" applyAlignment="1">
      <alignment horizontal="center"/>
    </xf>
    <xf numFmtId="0" fontId="44" fillId="0" borderId="14" xfId="0" applyFont="1" applyBorder="1" applyAlignment="1">
      <alignment horizontal="center" vertical="center" wrapText="1"/>
    </xf>
    <xf numFmtId="0" fontId="45" fillId="0" borderId="14" xfId="0" applyFont="1" applyBorder="1" applyAlignment="1">
      <alignment horizontal="center" vertical="center"/>
    </xf>
    <xf numFmtId="0" fontId="45" fillId="0" borderId="14" xfId="0" applyFont="1" applyBorder="1" applyAlignment="1">
      <alignment horizontal="left" vertical="center" wrapText="1"/>
    </xf>
    <xf numFmtId="164" fontId="45" fillId="0" borderId="14" xfId="0" applyNumberFormat="1" applyFont="1" applyBorder="1" applyAlignment="1">
      <alignment horizontal="center" vertical="center"/>
    </xf>
    <xf numFmtId="0" fontId="44" fillId="0" borderId="14" xfId="0" applyFont="1" applyBorder="1" applyAlignment="1">
      <alignment horizontal="center"/>
    </xf>
    <xf numFmtId="0" fontId="44" fillId="0" borderId="14" xfId="0" applyFont="1" applyBorder="1" applyAlignment="1">
      <alignment horizontal="center" vertical="center"/>
    </xf>
    <xf numFmtId="167" fontId="44" fillId="0" borderId="14" xfId="0" applyNumberFormat="1" applyFont="1" applyBorder="1" applyAlignment="1">
      <alignment horizontal="center" vertical="center"/>
    </xf>
    <xf numFmtId="164" fontId="44" fillId="0" borderId="14" xfId="0" applyNumberFormat="1" applyFont="1" applyBorder="1"/>
    <xf numFmtId="0" fontId="45" fillId="0" borderId="15" xfId="0" applyFont="1" applyBorder="1" applyAlignment="1">
      <alignment horizontal="center" vertical="center"/>
    </xf>
    <xf numFmtId="0" fontId="45" fillId="0" borderId="0" xfId="0" applyFont="1" applyAlignment="1">
      <alignment horizontal="left" vertical="center" wrapText="1"/>
    </xf>
    <xf numFmtId="164" fontId="45" fillId="0" borderId="0" xfId="0" applyNumberFormat="1" applyFont="1" applyAlignment="1">
      <alignment horizontal="center" vertical="center"/>
    </xf>
    <xf numFmtId="0" fontId="45" fillId="0" borderId="0" xfId="0" applyFont="1"/>
    <xf numFmtId="0" fontId="45" fillId="0" borderId="0" xfId="0" applyFont="1" applyAlignment="1">
      <alignment horizontal="center" vertical="center"/>
    </xf>
    <xf numFmtId="0" fontId="45" fillId="0" borderId="0" xfId="0" applyFont="1" applyAlignment="1">
      <alignment horizontal="left"/>
    </xf>
    <xf numFmtId="0" fontId="45" fillId="0" borderId="0" xfId="0" applyFont="1" applyAlignment="1">
      <alignment horizontal="center" vertical="top"/>
    </xf>
    <xf numFmtId="0" fontId="44" fillId="0" borderId="14" xfId="0" applyFont="1" applyBorder="1" applyAlignment="1">
      <alignment horizontal="left" vertical="center" wrapText="1"/>
    </xf>
    <xf numFmtId="164" fontId="44" fillId="0" borderId="14" xfId="0" applyNumberFormat="1" applyFont="1" applyBorder="1" applyAlignment="1">
      <alignment horizontal="center" vertical="center"/>
    </xf>
    <xf numFmtId="0" fontId="44" fillId="0" borderId="14" xfId="0" applyFont="1" applyBorder="1"/>
    <xf numFmtId="0" fontId="44" fillId="0" borderId="0" xfId="0" applyFont="1" applyAlignment="1">
      <alignment horizontal="center" vertical="center" wrapText="1"/>
    </xf>
    <xf numFmtId="164" fontId="44" fillId="0" borderId="0" xfId="0" applyNumberFormat="1" applyFont="1" applyAlignment="1">
      <alignment horizontal="center" vertical="center"/>
    </xf>
    <xf numFmtId="0" fontId="44" fillId="0" borderId="0" xfId="0" applyFont="1"/>
    <xf numFmtId="0" fontId="46" fillId="0" borderId="0" xfId="0" applyFont="1" applyAlignment="1">
      <alignment horizontal="center" vertical="center"/>
    </xf>
    <xf numFmtId="164" fontId="47" fillId="0" borderId="14" xfId="0" applyNumberFormat="1" applyFont="1" applyBorder="1" applyAlignment="1">
      <alignment horizontal="center" vertical="center" wrapText="1"/>
    </xf>
    <xf numFmtId="0" fontId="45" fillId="0" borderId="14" xfId="0" applyFont="1" applyBorder="1"/>
    <xf numFmtId="0" fontId="45" fillId="0" borderId="0" xfId="0" applyFont="1" applyAlignment="1">
      <alignment horizontal="center" vertical="top" wrapText="1"/>
    </xf>
    <xf numFmtId="164" fontId="11" fillId="0" borderId="0" xfId="0" applyNumberFormat="1" applyFont="1"/>
    <xf numFmtId="0" fontId="44" fillId="0" borderId="25" xfId="0" applyFont="1" applyBorder="1" applyAlignment="1">
      <alignment horizontal="center"/>
    </xf>
    <xf numFmtId="164" fontId="48" fillId="0" borderId="14" xfId="0" applyNumberFormat="1" applyFont="1" applyBorder="1" applyAlignment="1">
      <alignment horizontal="center" vertical="center" wrapText="1"/>
    </xf>
    <xf numFmtId="0" fontId="45" fillId="0" borderId="14" xfId="0" applyFont="1" applyBorder="1" applyAlignment="1">
      <alignment horizontal="center" vertical="center" wrapText="1"/>
    </xf>
    <xf numFmtId="0" fontId="45" fillId="0" borderId="15" xfId="0" applyFont="1" applyBorder="1" applyAlignment="1">
      <alignment horizontal="left" vertical="center" wrapText="1"/>
    </xf>
    <xf numFmtId="164" fontId="45" fillId="0" borderId="15" xfId="0" applyNumberFormat="1" applyFont="1" applyBorder="1" applyAlignment="1">
      <alignment horizontal="center" vertical="center"/>
    </xf>
    <xf numFmtId="0" fontId="44" fillId="0" borderId="15" xfId="0" applyFont="1" applyBorder="1" applyAlignment="1">
      <alignment horizontal="center"/>
    </xf>
    <xf numFmtId="0" fontId="45" fillId="0" borderId="14" xfId="0" applyFont="1" applyBorder="1" applyAlignment="1">
      <alignment horizontal="left" vertical="top" wrapText="1"/>
    </xf>
    <xf numFmtId="0" fontId="45" fillId="0" borderId="25" xfId="0" applyFont="1" applyBorder="1" applyAlignment="1">
      <alignment horizontal="center"/>
    </xf>
    <xf numFmtId="0" fontId="45" fillId="0" borderId="27" xfId="0" applyFont="1" applyBorder="1" applyAlignment="1">
      <alignment horizontal="left" vertical="center" wrapText="1"/>
    </xf>
    <xf numFmtId="164" fontId="45" fillId="0" borderId="27" xfId="0" applyNumberFormat="1" applyFont="1" applyBorder="1" applyAlignment="1">
      <alignment horizontal="center" vertical="center"/>
    </xf>
    <xf numFmtId="0" fontId="44" fillId="0" borderId="27" xfId="0" applyFont="1" applyBorder="1" applyAlignment="1">
      <alignment horizontal="center"/>
    </xf>
    <xf numFmtId="167" fontId="44" fillId="0" borderId="0" xfId="0" applyNumberFormat="1" applyFont="1" applyAlignment="1">
      <alignment horizontal="center" vertical="center"/>
    </xf>
    <xf numFmtId="164" fontId="44" fillId="0" borderId="0" xfId="0" applyNumberFormat="1" applyFont="1"/>
    <xf numFmtId="0" fontId="44" fillId="0" borderId="25" xfId="0" applyFont="1" applyBorder="1" applyAlignment="1">
      <alignment horizontal="center" vertical="top"/>
    </xf>
    <xf numFmtId="164" fontId="45" fillId="0" borderId="14" xfId="0" applyNumberFormat="1" applyFont="1" applyBorder="1" applyAlignment="1">
      <alignment horizontal="center" vertical="top"/>
    </xf>
    <xf numFmtId="0" fontId="45" fillId="0" borderId="14" xfId="0" applyFont="1" applyBorder="1" applyAlignment="1">
      <alignment horizontal="center" vertical="top"/>
    </xf>
    <xf numFmtId="0" fontId="45" fillId="0" borderId="14" xfId="0" applyFont="1" applyBorder="1" applyAlignment="1">
      <alignment horizontal="center" vertical="top" wrapText="1"/>
    </xf>
    <xf numFmtId="0" fontId="44" fillId="0" borderId="27" xfId="0" applyFont="1" applyBorder="1" applyAlignment="1">
      <alignment horizontal="center" vertical="center"/>
    </xf>
    <xf numFmtId="15" fontId="45" fillId="0" borderId="0" xfId="0" quotePrefix="1" applyNumberFormat="1" applyFont="1" applyAlignment="1">
      <alignment horizontal="left" vertical="center" wrapText="1"/>
    </xf>
    <xf numFmtId="42" fontId="45" fillId="0" borderId="14" xfId="0" applyNumberFormat="1" applyFont="1" applyBorder="1" applyAlignment="1">
      <alignment horizontal="center" vertical="center"/>
    </xf>
    <xf numFmtId="164" fontId="0" fillId="2" borderId="18" xfId="0" applyNumberFormat="1" applyFill="1" applyBorder="1" applyAlignment="1">
      <alignment horizontal="center" vertical="center"/>
    </xf>
    <xf numFmtId="164" fontId="0" fillId="2" borderId="16" xfId="0" applyNumberFormat="1" applyFill="1" applyBorder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164" fontId="0" fillId="2" borderId="17" xfId="0" applyNumberFormat="1" applyFill="1" applyBorder="1" applyAlignment="1">
      <alignment horizontal="center" vertical="center"/>
    </xf>
    <xf numFmtId="164" fontId="0" fillId="2" borderId="19" xfId="0" applyNumberFormat="1" applyFill="1" applyBorder="1" applyAlignment="1">
      <alignment horizontal="center" vertical="center"/>
    </xf>
    <xf numFmtId="164" fontId="28" fillId="2" borderId="0" xfId="0" quotePrefix="1" applyNumberFormat="1" applyFont="1" applyFill="1" applyAlignment="1">
      <alignment vertical="center"/>
    </xf>
    <xf numFmtId="42" fontId="26" fillId="0" borderId="0" xfId="0" applyNumberFormat="1" applyFont="1"/>
    <xf numFmtId="164" fontId="28" fillId="0" borderId="0" xfId="0" quotePrefix="1" applyNumberFormat="1" applyFont="1" applyAlignment="1">
      <alignment vertical="center"/>
    </xf>
    <xf numFmtId="42" fontId="0" fillId="0" borderId="0" xfId="2" applyFont="1"/>
    <xf numFmtId="42" fontId="0" fillId="0" borderId="0" xfId="0" applyNumberFormat="1"/>
    <xf numFmtId="164" fontId="37" fillId="2" borderId="0" xfId="0" applyNumberFormat="1" applyFont="1" applyFill="1"/>
    <xf numFmtId="42" fontId="0" fillId="2" borderId="0" xfId="2" applyFont="1" applyFill="1"/>
    <xf numFmtId="0" fontId="0" fillId="2" borderId="0" xfId="0" applyFill="1"/>
    <xf numFmtId="164" fontId="0" fillId="2" borderId="0" xfId="0" applyNumberFormat="1" applyFill="1"/>
    <xf numFmtId="42" fontId="0" fillId="2" borderId="0" xfId="0" applyNumberFormat="1" applyFill="1"/>
    <xf numFmtId="166" fontId="0" fillId="0" borderId="13" xfId="0" applyNumberFormat="1" applyBorder="1" applyAlignment="1">
      <alignment vertical="center"/>
    </xf>
    <xf numFmtId="164" fontId="26" fillId="2" borderId="0" xfId="0" applyNumberFormat="1" applyFont="1" applyFill="1"/>
    <xf numFmtId="164" fontId="10" fillId="0" borderId="0" xfId="0" applyNumberFormat="1" applyFont="1"/>
    <xf numFmtId="167" fontId="26" fillId="0" borderId="0" xfId="0" applyNumberFormat="1" applyFont="1"/>
    <xf numFmtId="0" fontId="44" fillId="0" borderId="4" xfId="0" applyFont="1" applyBorder="1" applyAlignment="1">
      <alignment horizontal="center"/>
    </xf>
    <xf numFmtId="164" fontId="51" fillId="0" borderId="0" xfId="0" applyNumberFormat="1" applyFont="1"/>
    <xf numFmtId="42" fontId="27" fillId="0" borderId="0" xfId="2" applyFont="1"/>
    <xf numFmtId="42" fontId="28" fillId="0" borderId="0" xfId="2" applyFont="1" applyFill="1"/>
    <xf numFmtId="164" fontId="48" fillId="0" borderId="0" xfId="0" applyNumberFormat="1" applyFont="1" applyAlignment="1">
      <alignment horizontal="center" vertical="center" wrapText="1"/>
    </xf>
    <xf numFmtId="42" fontId="50" fillId="0" borderId="0" xfId="2" applyFont="1" applyFill="1"/>
    <xf numFmtId="0" fontId="50" fillId="0" borderId="0" xfId="0" applyFont="1"/>
    <xf numFmtId="41" fontId="26" fillId="0" borderId="0" xfId="3" applyFont="1"/>
    <xf numFmtId="168" fontId="0" fillId="0" borderId="0" xfId="2" applyNumberFormat="1" applyFont="1"/>
    <xf numFmtId="168" fontId="0" fillId="0" borderId="0" xfId="0" applyNumberFormat="1"/>
    <xf numFmtId="168" fontId="0" fillId="0" borderId="24" xfId="2" applyNumberFormat="1" applyFont="1" applyBorder="1"/>
    <xf numFmtId="0" fontId="52" fillId="0" borderId="0" xfId="0" applyFont="1"/>
    <xf numFmtId="41" fontId="0" fillId="0" borderId="0" xfId="3" applyFont="1"/>
    <xf numFmtId="41" fontId="0" fillId="0" borderId="0" xfId="0" applyNumberFormat="1"/>
    <xf numFmtId="41" fontId="8" fillId="0" borderId="0" xfId="3" applyFont="1"/>
    <xf numFmtId="0" fontId="7" fillId="0" borderId="0" xfId="0" applyFont="1"/>
    <xf numFmtId="42" fontId="0" fillId="0" borderId="14" xfId="2" applyFont="1" applyBorder="1"/>
    <xf numFmtId="0" fontId="48" fillId="0" borderId="14" xfId="0" applyFont="1" applyBorder="1" applyAlignment="1">
      <alignment horizontal="center" wrapText="1"/>
    </xf>
    <xf numFmtId="0" fontId="48" fillId="0" borderId="14" xfId="0" applyFont="1" applyBorder="1" applyAlignment="1">
      <alignment horizontal="center" vertical="top" wrapText="1"/>
    </xf>
    <xf numFmtId="42" fontId="0" fillId="3" borderId="0" xfId="2" applyFont="1" applyFill="1"/>
    <xf numFmtId="0" fontId="53" fillId="0" borderId="14" xfId="0" applyFont="1" applyBorder="1" applyAlignment="1">
      <alignment vertical="top" wrapText="1"/>
    </xf>
    <xf numFmtId="0" fontId="53" fillId="0" borderId="14" xfId="0" applyFont="1" applyBorder="1" applyAlignment="1">
      <alignment wrapText="1"/>
    </xf>
    <xf numFmtId="0" fontId="54" fillId="0" borderId="14" xfId="0" applyFont="1" applyBorder="1" applyAlignment="1">
      <alignment wrapText="1"/>
    </xf>
    <xf numFmtId="0" fontId="55" fillId="0" borderId="14" xfId="0" applyFont="1" applyBorder="1" applyAlignment="1">
      <alignment wrapText="1"/>
    </xf>
    <xf numFmtId="0" fontId="45" fillId="0" borderId="25" xfId="0" applyFont="1" applyBorder="1" applyAlignment="1">
      <alignment horizontal="left" vertical="center" wrapText="1"/>
    </xf>
    <xf numFmtId="164" fontId="45" fillId="0" borderId="29" xfId="0" applyNumberFormat="1" applyFont="1" applyBorder="1" applyAlignment="1">
      <alignment horizontal="center" vertical="center"/>
    </xf>
    <xf numFmtId="164" fontId="48" fillId="0" borderId="27" xfId="0" applyNumberFormat="1" applyFont="1" applyBorder="1" applyAlignment="1">
      <alignment horizontal="center" vertical="center" wrapText="1"/>
    </xf>
    <xf numFmtId="164" fontId="48" fillId="0" borderId="30" xfId="0" applyNumberFormat="1" applyFont="1" applyBorder="1" applyAlignment="1">
      <alignment horizontal="center" vertical="center" wrapText="1"/>
    </xf>
    <xf numFmtId="41" fontId="5" fillId="0" borderId="0" xfId="3" applyFont="1"/>
    <xf numFmtId="15" fontId="0" fillId="0" borderId="0" xfId="0" applyNumberFormat="1"/>
    <xf numFmtId="164" fontId="0" fillId="2" borderId="19" xfId="0" applyNumberFormat="1" applyFill="1" applyBorder="1"/>
    <xf numFmtId="164" fontId="4" fillId="0" borderId="0" xfId="0" applyNumberFormat="1" applyFont="1"/>
    <xf numFmtId="0" fontId="45" fillId="0" borderId="14" xfId="0" applyFont="1" applyBorder="1" applyAlignment="1">
      <alignment horizontal="left" vertical="center"/>
    </xf>
    <xf numFmtId="164" fontId="0" fillId="0" borderId="19" xfId="0" applyNumberFormat="1" applyBorder="1" applyAlignment="1">
      <alignment horizontal="center" vertical="center"/>
    </xf>
    <xf numFmtId="164" fontId="0" fillId="0" borderId="17" xfId="0" applyNumberFormat="1" applyBorder="1" applyAlignment="1">
      <alignment horizontal="center" vertical="center"/>
    </xf>
    <xf numFmtId="164" fontId="50" fillId="0" borderId="19" xfId="0" applyNumberFormat="1" applyFont="1" applyBorder="1" applyAlignment="1">
      <alignment horizontal="center" vertical="center"/>
    </xf>
    <xf numFmtId="164" fontId="50" fillId="0" borderId="17" xfId="0" applyNumberFormat="1" applyFont="1" applyBorder="1" applyAlignment="1">
      <alignment horizontal="center" vertical="center"/>
    </xf>
    <xf numFmtId="167" fontId="3" fillId="0" borderId="0" xfId="0" applyNumberFormat="1" applyFont="1"/>
    <xf numFmtId="42" fontId="37" fillId="2" borderId="0" xfId="2" applyFont="1" applyFill="1"/>
    <xf numFmtId="42" fontId="49" fillId="2" borderId="0" xfId="2" applyFont="1" applyFill="1"/>
    <xf numFmtId="42" fontId="0" fillId="0" borderId="0" xfId="2" applyFont="1" applyFill="1"/>
    <xf numFmtId="41" fontId="0" fillId="0" borderId="0" xfId="3" applyFont="1" applyFill="1"/>
    <xf numFmtId="41" fontId="6" fillId="0" borderId="0" xfId="3" applyFont="1" applyFill="1"/>
    <xf numFmtId="41" fontId="5" fillId="0" borderId="0" xfId="3" applyFont="1" applyFill="1"/>
    <xf numFmtId="41" fontId="9" fillId="0" borderId="0" xfId="3" applyFont="1" applyFill="1"/>
    <xf numFmtId="164" fontId="37" fillId="0" borderId="31" xfId="4" applyNumberFormat="1" applyFont="1" applyFill="1"/>
    <xf numFmtId="42" fontId="0" fillId="5" borderId="0" xfId="2" applyFont="1" applyFill="1"/>
    <xf numFmtId="0" fontId="48" fillId="0" borderId="14" xfId="0" applyFont="1" applyBorder="1" applyAlignment="1">
      <alignment wrapText="1"/>
    </xf>
    <xf numFmtId="0" fontId="56" fillId="0" borderId="0" xfId="0" applyFont="1" applyAlignment="1">
      <alignment horizontal="left" vertical="center" wrapText="1"/>
    </xf>
    <xf numFmtId="0" fontId="54" fillId="0" borderId="14" xfId="0" applyFont="1" applyBorder="1" applyAlignment="1">
      <alignment horizontal="left" wrapText="1"/>
    </xf>
    <xf numFmtId="164" fontId="48" fillId="0" borderId="14" xfId="0" applyNumberFormat="1" applyFont="1" applyBorder="1" applyAlignment="1">
      <alignment horizontal="left" vertical="center" wrapText="1"/>
    </xf>
    <xf numFmtId="169" fontId="0" fillId="0" borderId="0" xfId="0" applyNumberFormat="1"/>
    <xf numFmtId="169" fontId="51" fillId="0" borderId="0" xfId="0" applyNumberFormat="1" applyFont="1"/>
    <xf numFmtId="169" fontId="27" fillId="0" borderId="0" xfId="2" applyNumberFormat="1" applyFont="1"/>
    <xf numFmtId="164" fontId="50" fillId="6" borderId="19" xfId="0" applyNumberFormat="1" applyFont="1" applyFill="1" applyBorder="1" applyAlignment="1">
      <alignment horizontal="center" vertical="center"/>
    </xf>
    <xf numFmtId="164" fontId="50" fillId="6" borderId="17" xfId="0" applyNumberFormat="1" applyFont="1" applyFill="1" applyBorder="1" applyAlignment="1">
      <alignment horizontal="center" vertical="center"/>
    </xf>
    <xf numFmtId="164" fontId="0" fillId="6" borderId="0" xfId="0" applyNumberFormat="1" applyFill="1" applyAlignment="1">
      <alignment horizontal="center" vertical="center"/>
    </xf>
    <xf numFmtId="164" fontId="50" fillId="7" borderId="19" xfId="0" applyNumberFormat="1" applyFont="1" applyFill="1" applyBorder="1" applyAlignment="1">
      <alignment horizontal="center" vertical="center"/>
    </xf>
    <xf numFmtId="164" fontId="50" fillId="7" borderId="17" xfId="0" applyNumberFormat="1" applyFont="1" applyFill="1" applyBorder="1" applyAlignment="1">
      <alignment horizontal="center" vertical="center"/>
    </xf>
    <xf numFmtId="164" fontId="0" fillId="7" borderId="0" xfId="0" applyNumberFormat="1" applyFill="1" applyAlignment="1">
      <alignment horizontal="center" vertical="center"/>
    </xf>
    <xf numFmtId="164" fontId="50" fillId="7" borderId="19" xfId="0" applyNumberFormat="1" applyFont="1" applyFill="1" applyBorder="1"/>
    <xf numFmtId="164" fontId="50" fillId="8" borderId="19" xfId="0" applyNumberFormat="1" applyFont="1" applyFill="1" applyBorder="1" applyAlignment="1">
      <alignment horizontal="center" vertical="center"/>
    </xf>
    <xf numFmtId="164" fontId="50" fillId="8" borderId="17" xfId="0" applyNumberFormat="1" applyFont="1" applyFill="1" applyBorder="1" applyAlignment="1">
      <alignment horizontal="center" vertical="center"/>
    </xf>
    <xf numFmtId="164" fontId="0" fillId="8" borderId="0" xfId="0" applyNumberFormat="1" applyFill="1" applyAlignment="1">
      <alignment horizontal="center" vertical="center"/>
    </xf>
    <xf numFmtId="164" fontId="50" fillId="3" borderId="19" xfId="0" applyNumberFormat="1" applyFont="1" applyFill="1" applyBorder="1"/>
    <xf numFmtId="164" fontId="50" fillId="3" borderId="19" xfId="0" applyNumberFormat="1" applyFont="1" applyFill="1" applyBorder="1" applyAlignment="1">
      <alignment horizontal="center" vertical="center"/>
    </xf>
    <xf numFmtId="164" fontId="50" fillId="3" borderId="17" xfId="0" applyNumberFormat="1" applyFont="1" applyFill="1" applyBorder="1" applyAlignment="1">
      <alignment horizontal="center" vertical="center"/>
    </xf>
    <xf numFmtId="164" fontId="0" fillId="3" borderId="0" xfId="0" applyNumberFormat="1" applyFill="1" applyAlignment="1">
      <alignment horizontal="center" vertical="center"/>
    </xf>
    <xf numFmtId="164" fontId="50" fillId="9" borderId="19" xfId="0" applyNumberFormat="1" applyFont="1" applyFill="1" applyBorder="1"/>
    <xf numFmtId="164" fontId="50" fillId="9" borderId="19" xfId="0" applyNumberFormat="1" applyFont="1" applyFill="1" applyBorder="1" applyAlignment="1">
      <alignment horizontal="center" vertical="center"/>
    </xf>
    <xf numFmtId="164" fontId="50" fillId="9" borderId="17" xfId="0" applyNumberFormat="1" applyFont="1" applyFill="1" applyBorder="1" applyAlignment="1">
      <alignment horizontal="center" vertical="center"/>
    </xf>
    <xf numFmtId="164" fontId="50" fillId="9" borderId="0" xfId="0" applyNumberFormat="1" applyFont="1" applyFill="1" applyAlignment="1">
      <alignment horizontal="center" vertical="center"/>
    </xf>
    <xf numFmtId="164" fontId="0" fillId="9" borderId="0" xfId="0" applyNumberFormat="1" applyFill="1" applyAlignment="1">
      <alignment horizontal="center" vertical="center"/>
    </xf>
    <xf numFmtId="164" fontId="50" fillId="9" borderId="32" xfId="0" applyNumberFormat="1" applyFont="1" applyFill="1" applyBorder="1"/>
    <xf numFmtId="164" fontId="50" fillId="9" borderId="33" xfId="0" applyNumberFormat="1" applyFont="1" applyFill="1" applyBorder="1" applyAlignment="1">
      <alignment horizontal="center" vertical="center"/>
    </xf>
    <xf numFmtId="164" fontId="50" fillId="9" borderId="13" xfId="0" applyNumberFormat="1" applyFont="1" applyFill="1" applyBorder="1" applyAlignment="1">
      <alignment horizontal="center" vertical="center"/>
    </xf>
    <xf numFmtId="164" fontId="50" fillId="9" borderId="32" xfId="0" applyNumberFormat="1" applyFont="1" applyFill="1" applyBorder="1" applyAlignment="1">
      <alignment horizontal="center" vertical="center"/>
    </xf>
    <xf numFmtId="164" fontId="50" fillId="8" borderId="19" xfId="0" applyNumberFormat="1" applyFont="1" applyFill="1" applyBorder="1"/>
    <xf numFmtId="164" fontId="50" fillId="8" borderId="0" xfId="0" applyNumberFormat="1" applyFont="1" applyFill="1" applyAlignment="1">
      <alignment horizontal="center" vertical="center"/>
    </xf>
    <xf numFmtId="164" fontId="0" fillId="3" borderId="19" xfId="0" applyNumberFormat="1" applyFill="1" applyBorder="1"/>
    <xf numFmtId="164" fontId="0" fillId="3" borderId="17" xfId="0" applyNumberFormat="1" applyFill="1" applyBorder="1" applyAlignment="1">
      <alignment horizontal="center" vertical="center"/>
    </xf>
    <xf numFmtId="164" fontId="0" fillId="3" borderId="19" xfId="0" applyNumberFormat="1" applyFill="1" applyBorder="1" applyAlignment="1">
      <alignment horizontal="center" vertical="center"/>
    </xf>
    <xf numFmtId="164" fontId="0" fillId="8" borderId="19" xfId="0" applyNumberFormat="1" applyFill="1" applyBorder="1"/>
    <xf numFmtId="164" fontId="0" fillId="8" borderId="17" xfId="0" applyNumberFormat="1" applyFill="1" applyBorder="1" applyAlignment="1">
      <alignment horizontal="center" vertical="center"/>
    </xf>
    <xf numFmtId="164" fontId="0" fillId="8" borderId="19" xfId="0" applyNumberFormat="1" applyFill="1" applyBorder="1" applyAlignment="1">
      <alignment horizontal="center" vertical="center"/>
    </xf>
    <xf numFmtId="164" fontId="0" fillId="6" borderId="19" xfId="0" applyNumberFormat="1" applyFill="1" applyBorder="1"/>
    <xf numFmtId="164" fontId="0" fillId="6" borderId="17" xfId="0" applyNumberFormat="1" applyFill="1" applyBorder="1" applyAlignment="1">
      <alignment horizontal="center" vertical="center"/>
    </xf>
    <xf numFmtId="164" fontId="0" fillId="6" borderId="19" xfId="0" applyNumberFormat="1" applyFill="1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1" fillId="0" borderId="14" xfId="0" applyFont="1" applyBorder="1" applyAlignment="1">
      <alignment horizontal="left" vertical="center" wrapText="1"/>
    </xf>
    <xf numFmtId="164" fontId="50" fillId="10" borderId="19" xfId="0" applyNumberFormat="1" applyFont="1" applyFill="1" applyBorder="1"/>
    <xf numFmtId="164" fontId="50" fillId="10" borderId="19" xfId="0" applyNumberFormat="1" applyFont="1" applyFill="1" applyBorder="1" applyAlignment="1">
      <alignment horizontal="center" vertical="center"/>
    </xf>
    <xf numFmtId="164" fontId="50" fillId="10" borderId="17" xfId="0" applyNumberFormat="1" applyFont="1" applyFill="1" applyBorder="1" applyAlignment="1">
      <alignment horizontal="center" vertical="center"/>
    </xf>
    <xf numFmtId="164" fontId="0" fillId="10" borderId="0" xfId="0" applyNumberFormat="1" applyFill="1" applyAlignment="1">
      <alignment horizontal="center" vertical="center"/>
    </xf>
    <xf numFmtId="164" fontId="50" fillId="10" borderId="32" xfId="0" applyNumberFormat="1" applyFont="1" applyFill="1" applyBorder="1"/>
    <xf numFmtId="164" fontId="50" fillId="10" borderId="33" xfId="0" applyNumberFormat="1" applyFont="1" applyFill="1" applyBorder="1" applyAlignment="1">
      <alignment horizontal="center" vertical="center"/>
    </xf>
    <xf numFmtId="164" fontId="50" fillId="10" borderId="0" xfId="0" applyNumberFormat="1" applyFont="1" applyFill="1" applyAlignment="1">
      <alignment horizontal="center" vertical="center"/>
    </xf>
    <xf numFmtId="164" fontId="50" fillId="10" borderId="13" xfId="0" applyNumberFormat="1" applyFont="1" applyFill="1" applyBorder="1" applyAlignment="1">
      <alignment horizontal="center" vertical="center"/>
    </xf>
    <xf numFmtId="164" fontId="50" fillId="11" borderId="19" xfId="0" applyNumberFormat="1" applyFont="1" applyFill="1" applyBorder="1"/>
    <xf numFmtId="164" fontId="50" fillId="11" borderId="19" xfId="0" applyNumberFormat="1" applyFont="1" applyFill="1" applyBorder="1" applyAlignment="1">
      <alignment horizontal="center" vertical="center"/>
    </xf>
    <xf numFmtId="164" fontId="50" fillId="11" borderId="17" xfId="0" applyNumberFormat="1" applyFont="1" applyFill="1" applyBorder="1" applyAlignment="1">
      <alignment horizontal="center" vertical="center"/>
    </xf>
    <xf numFmtId="164" fontId="0" fillId="11" borderId="0" xfId="0" applyNumberFormat="1" applyFill="1" applyAlignment="1">
      <alignment horizontal="center" vertical="center"/>
    </xf>
    <xf numFmtId="164" fontId="50" fillId="11" borderId="32" xfId="0" applyNumberFormat="1" applyFont="1" applyFill="1" applyBorder="1"/>
    <xf numFmtId="164" fontId="50" fillId="11" borderId="0" xfId="0" applyNumberFormat="1" applyFont="1" applyFill="1" applyAlignment="1">
      <alignment horizontal="center" vertical="center"/>
    </xf>
    <xf numFmtId="164" fontId="50" fillId="11" borderId="13" xfId="0" applyNumberFormat="1" applyFont="1" applyFill="1" applyBorder="1" applyAlignment="1">
      <alignment horizontal="center" vertical="center"/>
    </xf>
    <xf numFmtId="164" fontId="50" fillId="12" borderId="19" xfId="0" applyNumberFormat="1" applyFont="1" applyFill="1" applyBorder="1"/>
    <xf numFmtId="164" fontId="50" fillId="12" borderId="19" xfId="0" applyNumberFormat="1" applyFont="1" applyFill="1" applyBorder="1" applyAlignment="1">
      <alignment horizontal="center" vertical="center"/>
    </xf>
    <xf numFmtId="164" fontId="50" fillId="12" borderId="17" xfId="0" applyNumberFormat="1" applyFont="1" applyFill="1" applyBorder="1" applyAlignment="1">
      <alignment horizontal="center" vertical="center"/>
    </xf>
    <xf numFmtId="164" fontId="50" fillId="12" borderId="0" xfId="0" applyNumberFormat="1" applyFont="1" applyFill="1" applyAlignment="1">
      <alignment horizontal="center" vertical="center"/>
    </xf>
    <xf numFmtId="164" fontId="0" fillId="12" borderId="0" xfId="0" applyNumberFormat="1" applyFill="1" applyAlignment="1">
      <alignment horizontal="center" vertical="center"/>
    </xf>
    <xf numFmtId="164" fontId="50" fillId="3" borderId="32" xfId="0" applyNumberFormat="1" applyFont="1" applyFill="1" applyBorder="1"/>
    <xf numFmtId="164" fontId="50" fillId="3" borderId="0" xfId="0" applyNumberFormat="1" applyFont="1" applyFill="1" applyAlignment="1">
      <alignment horizontal="center" vertical="center"/>
    </xf>
    <xf numFmtId="164" fontId="50" fillId="3" borderId="13" xfId="0" applyNumberFormat="1" applyFont="1" applyFill="1" applyBorder="1" applyAlignment="1">
      <alignment horizontal="center" vertical="center"/>
    </xf>
    <xf numFmtId="164" fontId="50" fillId="13" borderId="19" xfId="0" applyNumberFormat="1" applyFont="1" applyFill="1" applyBorder="1"/>
    <xf numFmtId="164" fontId="50" fillId="13" borderId="19" xfId="0" applyNumberFormat="1" applyFont="1" applyFill="1" applyBorder="1" applyAlignment="1">
      <alignment horizontal="center" vertical="center"/>
    </xf>
    <xf numFmtId="164" fontId="50" fillId="13" borderId="17" xfId="0" applyNumberFormat="1" applyFont="1" applyFill="1" applyBorder="1" applyAlignment="1">
      <alignment horizontal="center" vertical="center"/>
    </xf>
    <xf numFmtId="164" fontId="0" fillId="13" borderId="0" xfId="0" applyNumberFormat="1" applyFill="1" applyAlignment="1">
      <alignment horizontal="center" vertical="center"/>
    </xf>
    <xf numFmtId="164" fontId="50" fillId="14" borderId="19" xfId="0" applyNumberFormat="1" applyFont="1" applyFill="1" applyBorder="1"/>
    <xf numFmtId="164" fontId="50" fillId="14" borderId="17" xfId="0" applyNumberFormat="1" applyFont="1" applyFill="1" applyBorder="1" applyAlignment="1">
      <alignment horizontal="center" vertical="center"/>
    </xf>
    <xf numFmtId="164" fontId="50" fillId="14" borderId="19" xfId="0" applyNumberFormat="1" applyFont="1" applyFill="1" applyBorder="1" applyAlignment="1">
      <alignment horizontal="center" vertical="center"/>
    </xf>
    <xf numFmtId="164" fontId="0" fillId="14" borderId="0" xfId="0" applyNumberFormat="1" applyFill="1" applyAlignment="1">
      <alignment horizontal="center" vertical="center"/>
    </xf>
    <xf numFmtId="164" fontId="50" fillId="14" borderId="0" xfId="0" applyNumberFormat="1" applyFont="1" applyFill="1" applyAlignment="1">
      <alignment horizontal="center" vertical="center"/>
    </xf>
    <xf numFmtId="0" fontId="44" fillId="0" borderId="14" xfId="0" applyFont="1" applyBorder="1" applyAlignment="1">
      <alignment horizontal="center" vertical="center"/>
    </xf>
    <xf numFmtId="0" fontId="44" fillId="0" borderId="0" xfId="0" quotePrefix="1" applyFont="1" applyAlignment="1">
      <alignment horizontal="center"/>
    </xf>
    <xf numFmtId="15" fontId="44" fillId="0" borderId="26" xfId="0" applyNumberFormat="1" applyFont="1" applyBorder="1" applyAlignment="1">
      <alignment horizontal="center" vertical="center" wrapText="1"/>
    </xf>
    <xf numFmtId="0" fontId="44" fillId="0" borderId="26" xfId="0" applyFont="1" applyBorder="1" applyAlignment="1">
      <alignment horizontal="center" vertical="center" wrapText="1"/>
    </xf>
    <xf numFmtId="0" fontId="45" fillId="0" borderId="0" xfId="0" applyFont="1" applyAlignment="1">
      <alignment horizontal="center" wrapText="1"/>
    </xf>
    <xf numFmtId="0" fontId="45" fillId="0" borderId="0" xfId="0" applyFont="1" applyAlignment="1">
      <alignment horizontal="center"/>
    </xf>
    <xf numFmtId="0" fontId="44" fillId="0" borderId="26" xfId="0" quotePrefix="1" applyFont="1" applyBorder="1" applyAlignment="1">
      <alignment horizontal="center"/>
    </xf>
    <xf numFmtId="15" fontId="44" fillId="0" borderId="26" xfId="0" quotePrefix="1" applyNumberFormat="1" applyFont="1" applyBorder="1" applyAlignment="1">
      <alignment horizontal="center" vertical="center" wrapText="1"/>
    </xf>
    <xf numFmtId="0" fontId="44" fillId="0" borderId="0" xfId="0" applyFont="1" applyAlignment="1">
      <alignment horizontal="center"/>
    </xf>
    <xf numFmtId="0" fontId="44" fillId="0" borderId="25" xfId="0" applyFont="1" applyBorder="1" applyAlignment="1">
      <alignment horizontal="center" vertical="center"/>
    </xf>
    <xf numFmtId="0" fontId="44" fillId="0" borderId="28" xfId="0" applyFont="1" applyBorder="1" applyAlignment="1">
      <alignment horizontal="center" vertical="center"/>
    </xf>
    <xf numFmtId="0" fontId="44" fillId="0" borderId="29" xfId="0" applyFont="1" applyBorder="1" applyAlignment="1">
      <alignment horizontal="center" vertical="center"/>
    </xf>
    <xf numFmtId="15" fontId="44" fillId="0" borderId="0" xfId="0" quotePrefix="1" applyNumberFormat="1" applyFont="1" applyAlignment="1">
      <alignment horizontal="center"/>
    </xf>
    <xf numFmtId="0" fontId="46" fillId="0" borderId="0" xfId="0" applyFont="1" applyAlignment="1">
      <alignment horizontal="center"/>
    </xf>
    <xf numFmtId="17" fontId="44" fillId="0" borderId="0" xfId="0" quotePrefix="1" applyNumberFormat="1" applyFont="1" applyAlignment="1">
      <alignment horizontal="center"/>
    </xf>
    <xf numFmtId="0" fontId="44" fillId="0" borderId="14" xfId="0" applyFont="1" applyBorder="1" applyAlignment="1">
      <alignment horizontal="center"/>
    </xf>
    <xf numFmtId="0" fontId="45" fillId="0" borderId="0" xfId="0" applyFont="1" applyAlignment="1">
      <alignment horizontal="center" vertical="top"/>
    </xf>
    <xf numFmtId="15" fontId="44" fillId="0" borderId="0" xfId="0" applyNumberFormat="1" applyFont="1" applyAlignment="1">
      <alignment horizontal="center"/>
    </xf>
    <xf numFmtId="0" fontId="30" fillId="0" borderId="0" xfId="0" applyFont="1" applyAlignment="1">
      <alignment horizontal="left"/>
    </xf>
    <xf numFmtId="0" fontId="30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33" fillId="0" borderId="0" xfId="0" applyFont="1" applyAlignment="1">
      <alignment horizontal="center"/>
    </xf>
    <xf numFmtId="0" fontId="33" fillId="0" borderId="1" xfId="0" applyFont="1" applyBorder="1" applyAlignment="1">
      <alignment horizontal="center" vertical="center"/>
    </xf>
    <xf numFmtId="0" fontId="33" fillId="0" borderId="5" xfId="0" applyFont="1" applyBorder="1" applyAlignment="1">
      <alignment horizontal="center" vertical="center"/>
    </xf>
    <xf numFmtId="0" fontId="33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33" fillId="0" borderId="6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33" fillId="0" borderId="0" xfId="0" applyFont="1"/>
    <xf numFmtId="0" fontId="31" fillId="0" borderId="0" xfId="0" applyFont="1" applyAlignment="1">
      <alignment horizontal="center"/>
    </xf>
    <xf numFmtId="164" fontId="28" fillId="0" borderId="24" xfId="0" applyNumberFormat="1" applyFont="1" applyBorder="1" applyAlignment="1">
      <alignment horizontal="center"/>
    </xf>
    <xf numFmtId="164" fontId="28" fillId="0" borderId="7" xfId="0" applyNumberFormat="1" applyFont="1" applyBorder="1" applyAlignment="1">
      <alignment horizontal="center"/>
    </xf>
    <xf numFmtId="164" fontId="41" fillId="0" borderId="8" xfId="0" applyNumberFormat="1" applyFont="1" applyBorder="1" applyAlignment="1">
      <alignment horizontal="center" vertical="center" wrapText="1"/>
    </xf>
    <xf numFmtId="164" fontId="0" fillId="0" borderId="8" xfId="0" applyNumberFormat="1" applyBorder="1" applyAlignment="1">
      <alignment horizontal="center"/>
    </xf>
    <xf numFmtId="164" fontId="41" fillId="0" borderId="1" xfId="0" applyNumberFormat="1" applyFont="1" applyBorder="1" applyAlignment="1">
      <alignment horizontal="center" vertical="center" wrapText="1"/>
    </xf>
    <xf numFmtId="164" fontId="41" fillId="0" borderId="5" xfId="0" applyNumberFormat="1" applyFont="1" applyBorder="1" applyAlignment="1">
      <alignment horizontal="center" vertical="center" wrapText="1"/>
    </xf>
    <xf numFmtId="164" fontId="41" fillId="0" borderId="21" xfId="0" applyNumberFormat="1" applyFont="1" applyBorder="1" applyAlignment="1">
      <alignment horizontal="center" vertical="center" wrapText="1"/>
    </xf>
    <xf numFmtId="164" fontId="41" fillId="0" borderId="22" xfId="0" applyNumberFormat="1" applyFont="1" applyBorder="1" applyAlignment="1">
      <alignment horizontal="center" vertical="center" wrapText="1"/>
    </xf>
    <xf numFmtId="164" fontId="41" fillId="0" borderId="4" xfId="0" applyNumberFormat="1" applyFont="1" applyBorder="1" applyAlignment="1">
      <alignment horizontal="center" vertical="center" wrapText="1"/>
    </xf>
    <xf numFmtId="164" fontId="41" fillId="0" borderId="6" xfId="0" applyNumberFormat="1" applyFont="1" applyBorder="1" applyAlignment="1">
      <alignment horizontal="center" vertical="center" wrapText="1"/>
    </xf>
    <xf numFmtId="164" fontId="0" fillId="0" borderId="0" xfId="0" applyNumberFormat="1"/>
  </cellXfs>
  <cellStyles count="5">
    <cellStyle name="Comma" xfId="1" builtinId="3"/>
    <cellStyle name="Comma [0]" xfId="3" builtinId="6"/>
    <cellStyle name="Currency [0]" xfId="2" builtinId="7"/>
    <cellStyle name="Normal" xfId="0" builtinId="0"/>
    <cellStyle name="Note" xfId="4" builtinId="10"/>
  </cellStyles>
  <dxfs count="0"/>
  <tableStyles count="0" defaultTableStyle="TableStyleMedium9" defaultPivotStyle="PivotStyleLight16"/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97"/>
  <sheetViews>
    <sheetView view="pageBreakPreview" topLeftCell="A294" zoomScaleNormal="115" zoomScaleSheetLayoutView="100" workbookViewId="0">
      <selection activeCell="E300" sqref="E300"/>
    </sheetView>
  </sheetViews>
  <sheetFormatPr defaultColWidth="9.140625" defaultRowHeight="15" x14ac:dyDescent="0.25"/>
  <cols>
    <col min="1" max="1" width="4.7109375" style="46" customWidth="1"/>
    <col min="2" max="2" width="25.7109375" style="49" customWidth="1"/>
    <col min="3" max="3" width="26.140625" style="49" customWidth="1"/>
    <col min="4" max="4" width="17.140625" style="46" customWidth="1"/>
    <col min="5" max="5" width="18.28515625" style="46" customWidth="1"/>
    <col min="6" max="6" width="5.5703125" style="41" customWidth="1"/>
    <col min="7" max="7" width="23.7109375" style="41" customWidth="1"/>
    <col min="8" max="8" width="18.28515625" style="41" customWidth="1"/>
    <col min="9" max="9" width="15.85546875" style="41" customWidth="1"/>
    <col min="10" max="10" width="14.7109375" style="41" bestFit="1" customWidth="1"/>
    <col min="11" max="15" width="9.140625" style="41"/>
    <col min="16" max="16" width="10.5703125" style="41" bestFit="1" customWidth="1"/>
    <col min="17" max="16384" width="9.140625" style="41"/>
  </cols>
  <sheetData>
    <row r="1" spans="1:10" ht="15.75" x14ac:dyDescent="0.25">
      <c r="A1" s="287" t="s">
        <v>0</v>
      </c>
      <c r="B1" s="287"/>
      <c r="C1" s="287"/>
      <c r="D1" s="287"/>
      <c r="E1" s="287"/>
      <c r="F1" s="287"/>
      <c r="H1" s="51"/>
    </row>
    <row r="2" spans="1:10" ht="15.75" x14ac:dyDescent="0.25">
      <c r="A2" s="293" t="s">
        <v>143</v>
      </c>
      <c r="B2" s="287"/>
      <c r="C2" s="287"/>
      <c r="D2" s="287"/>
      <c r="E2" s="287"/>
      <c r="F2" s="287"/>
      <c r="G2" s="67" t="s">
        <v>64</v>
      </c>
      <c r="H2" s="42">
        <f>SUM(C5)</f>
        <v>175000</v>
      </c>
      <c r="I2" s="42"/>
      <c r="J2" s="42"/>
    </row>
    <row r="3" spans="1:10" ht="16.5" thickBot="1" x14ac:dyDescent="0.3">
      <c r="A3" s="104"/>
      <c r="B3" s="101"/>
      <c r="C3" s="101"/>
      <c r="D3" s="104"/>
      <c r="E3" s="104"/>
      <c r="F3" s="103"/>
      <c r="G3" s="66" t="s">
        <v>62</v>
      </c>
      <c r="H3" s="155" t="s">
        <v>93</v>
      </c>
      <c r="I3" s="48"/>
    </row>
    <row r="4" spans="1:10" ht="16.5" thickBot="1" x14ac:dyDescent="0.3">
      <c r="A4" s="97" t="s">
        <v>1</v>
      </c>
      <c r="B4" s="92" t="s">
        <v>2</v>
      </c>
      <c r="C4" s="92" t="s">
        <v>3</v>
      </c>
      <c r="D4" s="97" t="s">
        <v>4</v>
      </c>
      <c r="E4" s="97" t="s">
        <v>5</v>
      </c>
      <c r="F4" s="97" t="s">
        <v>6</v>
      </c>
      <c r="G4" s="69" t="s">
        <v>65</v>
      </c>
      <c r="H4" s="42">
        <f>SUM(C5,D25,D50,D114,D146,D236,D162,D262,D274,D294,D312,D355,D374,D387)</f>
        <v>1254000</v>
      </c>
      <c r="I4" s="48"/>
    </row>
    <row r="5" spans="1:10" ht="16.5" thickBot="1" x14ac:dyDescent="0.3">
      <c r="A5" s="294" t="s">
        <v>7</v>
      </c>
      <c r="B5" s="294"/>
      <c r="C5" s="114">
        <v>175000</v>
      </c>
      <c r="D5" s="95" t="s">
        <v>21</v>
      </c>
      <c r="E5" s="95" t="s">
        <v>21</v>
      </c>
      <c r="F5" s="115"/>
      <c r="G5" s="57" t="s">
        <v>5</v>
      </c>
      <c r="H5" s="194">
        <f>SUM(E25+E50+E114+E146+E162+E236+E262+E274+E294+E312+E355+E374+E387)</f>
        <v>614500</v>
      </c>
      <c r="I5" s="156"/>
    </row>
    <row r="6" spans="1:10" s="68" customFormat="1" ht="17.25" thickBot="1" x14ac:dyDescent="0.3">
      <c r="A6" s="93">
        <v>1</v>
      </c>
      <c r="B6" s="94" t="s">
        <v>140</v>
      </c>
      <c r="C6" s="205" t="s">
        <v>141</v>
      </c>
      <c r="D6" s="95">
        <v>100000</v>
      </c>
      <c r="E6" s="95"/>
      <c r="F6" s="96"/>
      <c r="G6" s="66" t="s">
        <v>63</v>
      </c>
      <c r="H6" s="42">
        <f>H4-H5</f>
        <v>639500</v>
      </c>
    </row>
    <row r="7" spans="1:10" s="68" customFormat="1" ht="16.5" thickBot="1" x14ac:dyDescent="0.3">
      <c r="A7" s="93">
        <v>2</v>
      </c>
      <c r="B7" s="94" t="s">
        <v>140</v>
      </c>
      <c r="C7" s="94" t="s">
        <v>110</v>
      </c>
      <c r="D7" s="95"/>
      <c r="E7" s="95">
        <v>30000</v>
      </c>
      <c r="F7" s="96"/>
      <c r="G7" s="66"/>
      <c r="H7" s="42"/>
    </row>
    <row r="8" spans="1:10" s="68" customFormat="1" ht="16.5" thickBot="1" x14ac:dyDescent="0.3">
      <c r="A8" s="93">
        <v>3</v>
      </c>
      <c r="B8" s="94" t="s">
        <v>140</v>
      </c>
      <c r="C8" s="94" t="s">
        <v>142</v>
      </c>
      <c r="D8" s="95"/>
      <c r="E8" s="95">
        <v>50000</v>
      </c>
      <c r="F8" s="96"/>
      <c r="H8" s="42"/>
    </row>
    <row r="9" spans="1:10" s="68" customFormat="1" ht="16.5" thickBot="1" x14ac:dyDescent="0.3">
      <c r="A9" s="93">
        <v>4</v>
      </c>
      <c r="B9" s="94"/>
      <c r="C9" s="94"/>
      <c r="D9" s="95"/>
      <c r="E9" s="95"/>
      <c r="F9" s="96"/>
      <c r="G9" s="66"/>
      <c r="H9" s="42"/>
      <c r="J9" s="68">
        <v>82</v>
      </c>
    </row>
    <row r="10" spans="1:10" s="68" customFormat="1" ht="49.5" customHeight="1" thickBot="1" x14ac:dyDescent="0.3">
      <c r="A10" s="93">
        <v>5</v>
      </c>
      <c r="B10" s="94"/>
      <c r="C10" s="204"/>
      <c r="D10" s="95"/>
      <c r="E10" s="95"/>
      <c r="F10" s="96"/>
      <c r="G10" s="66"/>
      <c r="H10" s="42"/>
      <c r="J10" s="68">
        <v>20</v>
      </c>
    </row>
    <row r="11" spans="1:10" s="68" customFormat="1" ht="49.5" customHeight="1" thickBot="1" x14ac:dyDescent="0.3">
      <c r="A11" s="93">
        <v>6</v>
      </c>
      <c r="B11" s="94"/>
      <c r="C11" s="205"/>
      <c r="D11" s="95"/>
      <c r="E11" s="95"/>
      <c r="F11" s="96"/>
      <c r="G11" s="66"/>
      <c r="H11" s="42"/>
      <c r="J11" s="68">
        <f>SUM(J9:J10)</f>
        <v>102</v>
      </c>
    </row>
    <row r="12" spans="1:10" s="68" customFormat="1" ht="16.5" thickBot="1" x14ac:dyDescent="0.3">
      <c r="A12" s="93">
        <v>7</v>
      </c>
      <c r="B12" s="94"/>
      <c r="C12" s="120"/>
      <c r="D12" s="95"/>
      <c r="E12" s="95"/>
      <c r="F12" s="96"/>
      <c r="G12" s="66"/>
      <c r="H12" s="42"/>
    </row>
    <row r="13" spans="1:10" s="68" customFormat="1" ht="16.5" thickBot="1" x14ac:dyDescent="0.3">
      <c r="A13" s="93">
        <v>8</v>
      </c>
      <c r="B13" s="120"/>
      <c r="C13" s="119"/>
      <c r="D13" s="95"/>
      <c r="E13" s="95"/>
      <c r="F13" s="96"/>
      <c r="G13" s="66"/>
      <c r="H13" s="42"/>
    </row>
    <row r="14" spans="1:10" s="68" customFormat="1" ht="16.5" thickBot="1" x14ac:dyDescent="0.3">
      <c r="A14" s="93">
        <v>9</v>
      </c>
      <c r="B14" s="94"/>
      <c r="C14" s="178"/>
      <c r="D14" s="95"/>
      <c r="E14" s="95"/>
      <c r="F14" s="96"/>
      <c r="G14" s="66"/>
      <c r="H14" s="42"/>
    </row>
    <row r="15" spans="1:10" s="68" customFormat="1" ht="16.5" thickBot="1" x14ac:dyDescent="0.3">
      <c r="A15" s="93">
        <v>10</v>
      </c>
      <c r="B15" s="94"/>
      <c r="C15" s="178"/>
      <c r="D15" s="95"/>
      <c r="E15" s="95"/>
      <c r="F15" s="96"/>
      <c r="G15" s="66"/>
      <c r="H15" s="42"/>
    </row>
    <row r="16" spans="1:10" s="68" customFormat="1" ht="16.5" thickBot="1" x14ac:dyDescent="0.3">
      <c r="A16" s="93">
        <v>11</v>
      </c>
      <c r="B16" s="94"/>
      <c r="C16" s="178"/>
      <c r="D16" s="95"/>
      <c r="E16" s="95"/>
      <c r="F16" s="96"/>
      <c r="G16" s="66"/>
      <c r="H16" s="42"/>
    </row>
    <row r="17" spans="1:18" s="68" customFormat="1" ht="16.5" thickBot="1" x14ac:dyDescent="0.3">
      <c r="A17" s="93">
        <v>12</v>
      </c>
      <c r="B17" s="94"/>
      <c r="C17" s="178"/>
      <c r="D17" s="95"/>
      <c r="E17" s="95"/>
      <c r="F17" s="96"/>
      <c r="G17" s="66"/>
      <c r="H17" s="42"/>
    </row>
    <row r="18" spans="1:18" s="68" customFormat="1" ht="16.5" thickBot="1" x14ac:dyDescent="0.3">
      <c r="A18" s="93">
        <v>13</v>
      </c>
      <c r="B18" s="94"/>
      <c r="C18" s="178"/>
      <c r="D18" s="95"/>
      <c r="E18" s="95"/>
      <c r="F18" s="96"/>
      <c r="G18" s="66"/>
      <c r="H18" s="42"/>
    </row>
    <row r="19" spans="1:18" s="68" customFormat="1" ht="16.5" thickBot="1" x14ac:dyDescent="0.3">
      <c r="A19" s="93">
        <v>14</v>
      </c>
      <c r="B19" s="94"/>
      <c r="C19" s="177"/>
      <c r="D19" s="95"/>
      <c r="E19" s="95"/>
      <c r="F19" s="96"/>
      <c r="G19" s="66"/>
      <c r="H19" s="42"/>
    </row>
    <row r="20" spans="1:18" s="68" customFormat="1" ht="16.5" thickBot="1" x14ac:dyDescent="0.3">
      <c r="A20" s="93">
        <v>15</v>
      </c>
      <c r="B20" s="94"/>
      <c r="C20" s="178"/>
      <c r="D20" s="95"/>
      <c r="E20" s="95"/>
      <c r="F20" s="96"/>
      <c r="G20" s="66"/>
      <c r="H20" s="42"/>
    </row>
    <row r="21" spans="1:18" s="68" customFormat="1" ht="16.5" thickBot="1" x14ac:dyDescent="0.3">
      <c r="A21" s="93">
        <v>16</v>
      </c>
      <c r="B21" s="94"/>
      <c r="C21" s="119"/>
      <c r="D21" s="95"/>
      <c r="E21" s="95"/>
      <c r="F21" s="96"/>
      <c r="G21" s="66"/>
      <c r="H21" s="42"/>
    </row>
    <row r="22" spans="1:18" s="68" customFormat="1" ht="16.5" thickBot="1" x14ac:dyDescent="0.3">
      <c r="A22" s="93">
        <v>17</v>
      </c>
      <c r="B22" s="94"/>
      <c r="C22" s="183"/>
      <c r="D22" s="95"/>
      <c r="E22" s="95"/>
      <c r="F22" s="96"/>
      <c r="G22" s="66"/>
      <c r="H22" s="42"/>
    </row>
    <row r="23" spans="1:18" s="68" customFormat="1" ht="16.5" thickBot="1" x14ac:dyDescent="0.3">
      <c r="A23" s="93">
        <v>18</v>
      </c>
      <c r="B23" s="181"/>
      <c r="C23" s="180"/>
      <c r="D23" s="182"/>
      <c r="E23" s="95"/>
      <c r="F23" s="96"/>
      <c r="G23" s="66"/>
      <c r="H23" s="42"/>
    </row>
    <row r="24" spans="1:18" s="68" customFormat="1" ht="16.5" thickBot="1" x14ac:dyDescent="0.3">
      <c r="A24" s="93"/>
      <c r="B24" s="94"/>
      <c r="C24" s="184"/>
      <c r="D24" s="95"/>
      <c r="E24" s="95"/>
      <c r="F24" s="96"/>
      <c r="G24" s="66"/>
      <c r="H24" s="42"/>
    </row>
    <row r="25" spans="1:18" s="43" customFormat="1" ht="16.5" thickBot="1" x14ac:dyDescent="0.3">
      <c r="A25" s="279" t="s">
        <v>36</v>
      </c>
      <c r="B25" s="279"/>
      <c r="C25" s="279"/>
      <c r="D25" s="98">
        <f>SUM(D6:D23)</f>
        <v>100000</v>
      </c>
      <c r="E25" s="98">
        <f>SUM(E6:E23)</f>
        <v>80000</v>
      </c>
      <c r="F25" s="99"/>
      <c r="G25" s="50"/>
      <c r="H25" s="50"/>
      <c r="R25" s="43" t="e">
        <f>-MARET!#REF!</f>
        <v>#REF!</v>
      </c>
    </row>
    <row r="26" spans="1:18" ht="15.75" x14ac:dyDescent="0.25">
      <c r="A26" s="100"/>
      <c r="B26" s="101"/>
      <c r="C26" s="101"/>
      <c r="D26" s="102"/>
      <c r="E26" s="102"/>
      <c r="F26" s="103"/>
      <c r="G26" s="73" t="s">
        <v>66</v>
      </c>
      <c r="H26" s="42">
        <v>201915000</v>
      </c>
    </row>
    <row r="27" spans="1:18" ht="15.75" x14ac:dyDescent="0.25">
      <c r="A27" s="104"/>
      <c r="B27" s="283" t="s">
        <v>10</v>
      </c>
      <c r="C27" s="283"/>
      <c r="D27" s="284" t="s">
        <v>11</v>
      </c>
      <c r="E27" s="284"/>
      <c r="F27" s="284"/>
      <c r="G27" s="57" t="s">
        <v>48</v>
      </c>
      <c r="H27" s="42">
        <f>SUM(D25,D50,D114,D146,D162,D236,D262,D274,D294,D312,D355,D374,D387)</f>
        <v>1079000</v>
      </c>
      <c r="I27" s="42"/>
    </row>
    <row r="28" spans="1:18" ht="15.75" x14ac:dyDescent="0.25">
      <c r="A28" s="104"/>
      <c r="B28" s="284" t="s">
        <v>67</v>
      </c>
      <c r="C28" s="284"/>
      <c r="D28" s="105"/>
      <c r="E28" s="106"/>
      <c r="F28" s="106"/>
      <c r="G28" s="75" t="s">
        <v>68</v>
      </c>
      <c r="H28" s="42">
        <f>SUM(H26:H27)</f>
        <v>202994000</v>
      </c>
    </row>
    <row r="29" spans="1:18" ht="15.75" x14ac:dyDescent="0.25">
      <c r="A29" s="104"/>
      <c r="B29" s="101"/>
      <c r="C29" s="101"/>
      <c r="D29" s="105"/>
      <c r="E29" s="106"/>
      <c r="F29" s="106"/>
      <c r="G29" s="42"/>
      <c r="H29" s="42"/>
      <c r="I29" s="42"/>
    </row>
    <row r="30" spans="1:18" ht="15.75" x14ac:dyDescent="0.25">
      <c r="A30" s="104"/>
      <c r="B30" s="101"/>
      <c r="C30" s="101"/>
      <c r="D30" s="105"/>
      <c r="E30" s="106"/>
      <c r="F30" s="106"/>
    </row>
    <row r="31" spans="1:18" ht="15.75" x14ac:dyDescent="0.25">
      <c r="A31" s="104"/>
      <c r="B31" s="101"/>
      <c r="C31" s="101"/>
      <c r="D31" s="105"/>
      <c r="E31" s="106"/>
      <c r="F31" s="106"/>
      <c r="G31" s="117" t="s">
        <v>71</v>
      </c>
      <c r="H31" s="52">
        <v>201915000</v>
      </c>
      <c r="P31" s="164">
        <f>6000000*70/100</f>
        <v>4200000</v>
      </c>
    </row>
    <row r="32" spans="1:18" ht="15.75" x14ac:dyDescent="0.25">
      <c r="A32" s="104"/>
      <c r="B32" s="292" t="s">
        <v>70</v>
      </c>
      <c r="C32" s="292"/>
      <c r="D32" s="292" t="s">
        <v>90</v>
      </c>
      <c r="E32" s="292"/>
      <c r="F32" s="292"/>
      <c r="G32" s="75" t="s">
        <v>72</v>
      </c>
      <c r="H32" s="188">
        <f>204367409</f>
        <v>204367409</v>
      </c>
    </row>
    <row r="33" spans="1:10" ht="13.5" customHeight="1" x14ac:dyDescent="0.25">
      <c r="A33" s="113"/>
      <c r="B33" s="295"/>
      <c r="C33" s="295"/>
      <c r="D33" s="284" t="s">
        <v>91</v>
      </c>
      <c r="E33" s="284"/>
      <c r="F33" s="284"/>
      <c r="G33" s="79" t="s">
        <v>73</v>
      </c>
      <c r="H33" s="52">
        <v>0</v>
      </c>
    </row>
    <row r="34" spans="1:10" ht="15.75" x14ac:dyDescent="0.25">
      <c r="A34" s="295"/>
      <c r="B34" s="295"/>
      <c r="C34" s="295"/>
      <c r="D34" s="295"/>
      <c r="E34" s="295"/>
      <c r="F34" s="106"/>
      <c r="G34" s="75"/>
      <c r="H34" s="52"/>
      <c r="J34" s="154">
        <f>H6-H33</f>
        <v>639500</v>
      </c>
    </row>
    <row r="35" spans="1:10" ht="15.75" x14ac:dyDescent="0.25">
      <c r="A35" s="296"/>
      <c r="B35" s="287"/>
      <c r="C35" s="287"/>
      <c r="D35" s="287"/>
      <c r="E35" s="287"/>
      <c r="F35" s="287"/>
      <c r="H35" s="52"/>
      <c r="J35" s="172" t="s">
        <v>121</v>
      </c>
    </row>
    <row r="36" spans="1:10" ht="15.75" x14ac:dyDescent="0.25">
      <c r="A36" s="293" t="s">
        <v>146</v>
      </c>
      <c r="B36" s="287"/>
      <c r="C36" s="287"/>
      <c r="D36" s="287"/>
      <c r="E36" s="287"/>
      <c r="F36" s="287"/>
      <c r="H36" s="52"/>
      <c r="J36" s="42"/>
    </row>
    <row r="37" spans="1:10" ht="16.5" thickBot="1" x14ac:dyDescent="0.3">
      <c r="A37" s="104"/>
      <c r="B37" s="101"/>
      <c r="C37" s="101"/>
      <c r="D37" s="104"/>
      <c r="E37" s="104"/>
      <c r="F37" s="103"/>
      <c r="G37" s="75" t="s">
        <v>74</v>
      </c>
      <c r="H37" s="52">
        <v>0</v>
      </c>
    </row>
    <row r="38" spans="1:10" ht="16.5" thickBot="1" x14ac:dyDescent="0.3">
      <c r="A38" s="97" t="s">
        <v>1</v>
      </c>
      <c r="B38" s="92" t="s">
        <v>2</v>
      </c>
      <c r="C38" s="92" t="s">
        <v>3</v>
      </c>
      <c r="D38" s="97" t="s">
        <v>4</v>
      </c>
      <c r="E38" s="97" t="s">
        <v>5</v>
      </c>
      <c r="F38" s="97" t="s">
        <v>6</v>
      </c>
      <c r="G38" s="75" t="s">
        <v>5</v>
      </c>
      <c r="H38" s="52">
        <f>SUM(H5)</f>
        <v>614500</v>
      </c>
    </row>
    <row r="39" spans="1:10" ht="17.25" thickBot="1" x14ac:dyDescent="0.3">
      <c r="A39" s="125">
        <v>1</v>
      </c>
      <c r="B39" s="94" t="s">
        <v>147</v>
      </c>
      <c r="C39" s="205" t="s">
        <v>141</v>
      </c>
      <c r="D39" s="95">
        <v>100000</v>
      </c>
      <c r="E39" s="95"/>
      <c r="F39" s="115"/>
      <c r="G39" s="75" t="s">
        <v>75</v>
      </c>
      <c r="H39" s="52">
        <f>H6+H31</f>
        <v>202554500</v>
      </c>
    </row>
    <row r="40" spans="1:10" ht="16.5" thickBot="1" x14ac:dyDescent="0.3">
      <c r="A40" s="93">
        <v>2</v>
      </c>
      <c r="B40" s="94" t="s">
        <v>147</v>
      </c>
      <c r="C40" s="94" t="s">
        <v>110</v>
      </c>
      <c r="D40" s="95"/>
      <c r="E40" s="95">
        <v>30000</v>
      </c>
      <c r="F40" s="96"/>
      <c r="H40" s="52"/>
    </row>
    <row r="41" spans="1:10" ht="16.5" thickBot="1" x14ac:dyDescent="0.3">
      <c r="A41" s="125">
        <v>3</v>
      </c>
      <c r="B41" s="94" t="s">
        <v>147</v>
      </c>
      <c r="C41" s="94" t="s">
        <v>142</v>
      </c>
      <c r="D41" s="95"/>
      <c r="E41" s="95">
        <v>50000</v>
      </c>
      <c r="F41" s="96"/>
      <c r="H41" s="52"/>
    </row>
    <row r="42" spans="1:10" ht="16.5" thickBot="1" x14ac:dyDescent="0.3">
      <c r="A42" s="93">
        <v>4</v>
      </c>
      <c r="B42" s="94"/>
      <c r="C42" s="204"/>
      <c r="D42" s="95"/>
      <c r="E42" s="95"/>
      <c r="F42" s="96"/>
      <c r="H42" s="52"/>
    </row>
    <row r="43" spans="1:10" ht="17.25" thickBot="1" x14ac:dyDescent="0.3">
      <c r="A43" s="125"/>
      <c r="B43" s="94"/>
      <c r="C43" s="205"/>
      <c r="D43" s="95"/>
      <c r="E43" s="95"/>
      <c r="F43" s="96"/>
      <c r="H43" s="52"/>
    </row>
    <row r="44" spans="1:10" ht="16.5" thickBot="1" x14ac:dyDescent="0.3">
      <c r="A44" s="125"/>
      <c r="B44" s="94"/>
      <c r="C44" s="94"/>
      <c r="D44" s="95"/>
      <c r="E44" s="95"/>
      <c r="F44" s="96"/>
      <c r="H44" s="52"/>
    </row>
    <row r="45" spans="1:10" ht="16.5" thickBot="1" x14ac:dyDescent="0.3">
      <c r="A45" s="125"/>
      <c r="B45" s="94"/>
      <c r="C45" s="204"/>
      <c r="D45" s="95"/>
      <c r="E45" s="95"/>
      <c r="F45" s="96"/>
      <c r="H45" s="52"/>
    </row>
    <row r="46" spans="1:10" ht="17.25" thickBot="1" x14ac:dyDescent="0.3">
      <c r="A46" s="125"/>
      <c r="B46" s="94"/>
      <c r="C46" s="205"/>
      <c r="D46" s="95"/>
      <c r="E46" s="95"/>
      <c r="F46" s="96"/>
      <c r="H46" s="52"/>
    </row>
    <row r="47" spans="1:10" ht="16.5" thickBot="1" x14ac:dyDescent="0.3">
      <c r="A47" s="125"/>
      <c r="B47" s="94"/>
      <c r="C47" s="206"/>
      <c r="D47" s="95"/>
      <c r="E47" s="95"/>
      <c r="F47" s="96"/>
      <c r="H47" s="52"/>
    </row>
    <row r="48" spans="1:10" ht="16.5" thickBot="1" x14ac:dyDescent="0.3">
      <c r="A48" s="125"/>
      <c r="B48" s="120"/>
      <c r="C48" s="206"/>
      <c r="D48" s="95"/>
      <c r="E48" s="95"/>
      <c r="F48" s="96"/>
      <c r="H48" s="52"/>
    </row>
    <row r="49" spans="1:10" ht="16.5" thickBot="1" x14ac:dyDescent="0.3">
      <c r="A49" s="125"/>
      <c r="B49" s="94"/>
      <c r="C49" s="207"/>
      <c r="D49" s="95"/>
      <c r="E49" s="95"/>
      <c r="F49" s="96"/>
      <c r="H49" s="52"/>
    </row>
    <row r="50" spans="1:10" ht="16.5" thickBot="1" x14ac:dyDescent="0.3">
      <c r="A50" s="279" t="s">
        <v>36</v>
      </c>
      <c r="B50" s="279"/>
      <c r="C50" s="279"/>
      <c r="D50" s="98">
        <f>SUM(D39:D49)</f>
        <v>100000</v>
      </c>
      <c r="E50" s="98">
        <f>SUM(E39:E49)</f>
        <v>80000</v>
      </c>
      <c r="F50" s="99"/>
      <c r="G50" s="42"/>
    </row>
    <row r="51" spans="1:10" ht="15.75" x14ac:dyDescent="0.25">
      <c r="A51" s="100"/>
      <c r="B51" s="101"/>
      <c r="C51" s="101"/>
      <c r="D51" s="102"/>
      <c r="E51" s="102"/>
      <c r="F51" s="103"/>
    </row>
    <row r="52" spans="1:10" ht="15.75" x14ac:dyDescent="0.25">
      <c r="A52" s="104"/>
      <c r="B52" s="283"/>
      <c r="C52" s="283"/>
      <c r="D52" s="284"/>
      <c r="E52" s="284"/>
      <c r="F52" s="284"/>
      <c r="I52" s="144"/>
    </row>
    <row r="53" spans="1:10" ht="15.75" x14ac:dyDescent="0.25">
      <c r="A53" s="293" t="s">
        <v>149</v>
      </c>
      <c r="B53" s="287"/>
      <c r="C53" s="287"/>
      <c r="D53" s="287"/>
      <c r="E53" s="287"/>
      <c r="F53" s="287"/>
      <c r="I53" s="144"/>
    </row>
    <row r="54" spans="1:10" ht="16.5" thickBot="1" x14ac:dyDescent="0.3">
      <c r="A54" s="104"/>
      <c r="B54" s="101"/>
      <c r="C54" s="101"/>
      <c r="D54" s="104"/>
      <c r="E54" s="104"/>
      <c r="F54" s="103"/>
      <c r="I54" s="144"/>
      <c r="J54" s="144"/>
    </row>
    <row r="55" spans="1:10" ht="16.5" thickBot="1" x14ac:dyDescent="0.3">
      <c r="A55" s="97" t="s">
        <v>1</v>
      </c>
      <c r="B55" s="92" t="s">
        <v>2</v>
      </c>
      <c r="C55" s="92" t="s">
        <v>3</v>
      </c>
      <c r="D55" s="97" t="s">
        <v>4</v>
      </c>
      <c r="E55" s="97" t="s">
        <v>5</v>
      </c>
      <c r="F55" s="97" t="s">
        <v>6</v>
      </c>
      <c r="I55" s="144"/>
    </row>
    <row r="56" spans="1:10" ht="16.5" thickBot="1" x14ac:dyDescent="0.3">
      <c r="A56" s="125">
        <v>1</v>
      </c>
      <c r="B56" s="94" t="s">
        <v>154</v>
      </c>
      <c r="C56" s="204" t="s">
        <v>112</v>
      </c>
      <c r="D56" s="95"/>
      <c r="E56" s="95">
        <v>10000</v>
      </c>
      <c r="F56" s="115"/>
    </row>
    <row r="57" spans="1:10" ht="16.5" thickBot="1" x14ac:dyDescent="0.3">
      <c r="A57" s="93">
        <v>2</v>
      </c>
      <c r="B57" s="94" t="s">
        <v>154</v>
      </c>
      <c r="C57" s="204" t="s">
        <v>150</v>
      </c>
      <c r="D57" s="95"/>
      <c r="E57" s="95">
        <v>10000</v>
      </c>
      <c r="F57" s="115"/>
    </row>
    <row r="58" spans="1:10" ht="45.75" thickBot="1" x14ac:dyDescent="0.3">
      <c r="A58" s="125">
        <v>3</v>
      </c>
      <c r="B58" s="94" t="s">
        <v>154</v>
      </c>
      <c r="C58" s="246" t="s">
        <v>151</v>
      </c>
      <c r="D58" s="95"/>
      <c r="E58" s="95">
        <v>10000</v>
      </c>
      <c r="F58" s="115"/>
    </row>
    <row r="59" spans="1:10" ht="30.75" thickBot="1" x14ac:dyDescent="0.3">
      <c r="A59" s="125">
        <v>4</v>
      </c>
      <c r="B59" s="94" t="s">
        <v>154</v>
      </c>
      <c r="C59" s="246" t="s">
        <v>152</v>
      </c>
      <c r="D59" s="95"/>
      <c r="E59" s="95">
        <v>100000</v>
      </c>
      <c r="F59" s="115"/>
    </row>
    <row r="60" spans="1:10" ht="45.75" thickBot="1" x14ac:dyDescent="0.3">
      <c r="A60" s="125">
        <v>5</v>
      </c>
      <c r="B60" s="94" t="s">
        <v>154</v>
      </c>
      <c r="C60" s="246" t="s">
        <v>153</v>
      </c>
      <c r="D60" s="95"/>
      <c r="E60" s="95">
        <v>10000</v>
      </c>
      <c r="F60" s="115"/>
    </row>
    <row r="61" spans="1:10" ht="16.5" thickBot="1" x14ac:dyDescent="0.3">
      <c r="A61" s="125">
        <v>6</v>
      </c>
      <c r="B61" s="94"/>
      <c r="C61" s="94"/>
      <c r="D61" s="95"/>
      <c r="E61" s="95"/>
      <c r="F61" s="115"/>
      <c r="H61" s="41">
        <f>40000+29000</f>
        <v>69000</v>
      </c>
    </row>
    <row r="62" spans="1:10" ht="16.5" thickBot="1" x14ac:dyDescent="0.3">
      <c r="A62" s="125">
        <v>7</v>
      </c>
      <c r="B62" s="94"/>
      <c r="C62" s="94"/>
      <c r="D62" s="95"/>
      <c r="E62" s="95"/>
      <c r="F62" s="115"/>
    </row>
    <row r="63" spans="1:10" ht="16.5" thickBot="1" x14ac:dyDescent="0.3">
      <c r="A63" s="125">
        <v>8</v>
      </c>
      <c r="B63" s="94"/>
      <c r="C63" s="204"/>
      <c r="D63" s="95"/>
      <c r="E63" s="95"/>
      <c r="F63" s="115"/>
    </row>
    <row r="64" spans="1:10" ht="16.5" thickBot="1" x14ac:dyDescent="0.3">
      <c r="A64" s="125">
        <v>9</v>
      </c>
      <c r="B64" s="94"/>
      <c r="C64" s="245"/>
      <c r="D64" s="95"/>
      <c r="E64" s="95"/>
      <c r="F64" s="115"/>
    </row>
    <row r="65" spans="1:6" ht="16.5" thickBot="1" x14ac:dyDescent="0.3">
      <c r="A65" s="125">
        <v>10</v>
      </c>
      <c r="B65" s="94"/>
      <c r="C65" s="94"/>
      <c r="D65" s="95"/>
      <c r="E65" s="95"/>
      <c r="F65" s="115"/>
    </row>
    <row r="66" spans="1:6" ht="17.25" thickBot="1" x14ac:dyDescent="0.3">
      <c r="A66" s="125">
        <v>11</v>
      </c>
      <c r="B66" s="94"/>
      <c r="C66" s="205"/>
      <c r="D66" s="95"/>
      <c r="E66" s="95"/>
      <c r="F66" s="115"/>
    </row>
    <row r="67" spans="1:6" ht="16.5" thickBot="1" x14ac:dyDescent="0.3">
      <c r="A67" s="125">
        <v>12</v>
      </c>
      <c r="B67" s="94"/>
      <c r="C67" s="94"/>
      <c r="D67" s="95"/>
      <c r="E67" s="95"/>
      <c r="F67" s="115"/>
    </row>
    <row r="68" spans="1:6" ht="16.5" thickBot="1" x14ac:dyDescent="0.3">
      <c r="A68" s="125">
        <v>13</v>
      </c>
      <c r="B68" s="94"/>
      <c r="C68" s="179"/>
      <c r="D68" s="95"/>
      <c r="E68" s="95"/>
      <c r="F68" s="115"/>
    </row>
    <row r="69" spans="1:6" ht="16.5" thickBot="1" x14ac:dyDescent="0.3">
      <c r="A69" s="125">
        <v>14</v>
      </c>
      <c r="B69" s="94"/>
      <c r="C69" s="179"/>
      <c r="D69" s="95"/>
      <c r="E69" s="95"/>
      <c r="F69" s="115"/>
    </row>
    <row r="70" spans="1:6" ht="16.5" thickBot="1" x14ac:dyDescent="0.3">
      <c r="A70" s="125">
        <v>15</v>
      </c>
      <c r="B70" s="94"/>
      <c r="C70" s="179"/>
      <c r="D70" s="95"/>
      <c r="E70" s="95"/>
      <c r="F70" s="115"/>
    </row>
    <row r="71" spans="1:6" ht="16.5" thickBot="1" x14ac:dyDescent="0.3">
      <c r="A71" s="125">
        <v>16</v>
      </c>
      <c r="B71" s="94"/>
      <c r="C71" s="179"/>
      <c r="D71" s="95"/>
      <c r="E71" s="95"/>
      <c r="F71" s="115"/>
    </row>
    <row r="72" spans="1:6" ht="16.5" thickBot="1" x14ac:dyDescent="0.3">
      <c r="A72" s="125">
        <v>17</v>
      </c>
      <c r="B72" s="94"/>
      <c r="C72" s="179"/>
      <c r="D72" s="95"/>
      <c r="E72" s="95"/>
      <c r="F72" s="115"/>
    </row>
    <row r="73" spans="1:6" ht="16.5" thickBot="1" x14ac:dyDescent="0.3">
      <c r="A73" s="125">
        <v>18</v>
      </c>
      <c r="B73" s="94"/>
      <c r="C73" s="179"/>
      <c r="D73" s="95"/>
      <c r="E73" s="95"/>
      <c r="F73" s="115"/>
    </row>
    <row r="74" spans="1:6" ht="16.5" thickBot="1" x14ac:dyDescent="0.3">
      <c r="A74" s="125">
        <v>19</v>
      </c>
      <c r="B74" s="94"/>
      <c r="C74" s="179"/>
      <c r="D74" s="95"/>
      <c r="E74" s="95"/>
      <c r="F74" s="115"/>
    </row>
    <row r="75" spans="1:6" ht="16.5" thickBot="1" x14ac:dyDescent="0.3">
      <c r="A75" s="125">
        <v>20</v>
      </c>
      <c r="B75" s="94"/>
      <c r="C75" s="179"/>
      <c r="D75" s="95"/>
      <c r="E75" s="95"/>
      <c r="F75" s="115"/>
    </row>
    <row r="76" spans="1:6" ht="16.5" thickBot="1" x14ac:dyDescent="0.3">
      <c r="A76" s="125">
        <v>21</v>
      </c>
      <c r="B76" s="94"/>
      <c r="C76" s="179"/>
      <c r="D76" s="95"/>
      <c r="E76" s="95"/>
      <c r="F76" s="115"/>
    </row>
    <row r="77" spans="1:6" ht="16.5" thickBot="1" x14ac:dyDescent="0.3">
      <c r="A77" s="125">
        <v>22</v>
      </c>
      <c r="B77" s="94"/>
      <c r="C77" s="179"/>
      <c r="D77" s="95"/>
      <c r="E77" s="95"/>
      <c r="F77" s="115"/>
    </row>
    <row r="78" spans="1:6" ht="16.5" thickBot="1" x14ac:dyDescent="0.3">
      <c r="A78" s="125">
        <v>23</v>
      </c>
      <c r="B78" s="94"/>
      <c r="C78" s="179"/>
      <c r="D78" s="95"/>
      <c r="E78" s="95"/>
      <c r="F78" s="115"/>
    </row>
    <row r="79" spans="1:6" ht="16.5" thickBot="1" x14ac:dyDescent="0.3">
      <c r="A79" s="125">
        <v>24</v>
      </c>
      <c r="B79" s="94"/>
      <c r="C79" s="179"/>
      <c r="D79" s="95"/>
      <c r="E79" s="95"/>
      <c r="F79" s="115"/>
    </row>
    <row r="80" spans="1:6" ht="16.5" thickBot="1" x14ac:dyDescent="0.3">
      <c r="A80" s="125">
        <v>25</v>
      </c>
      <c r="B80" s="94"/>
      <c r="C80" s="179"/>
      <c r="D80" s="95"/>
      <c r="E80" s="95"/>
      <c r="F80" s="115"/>
    </row>
    <row r="81" spans="1:6" ht="16.5" thickBot="1" x14ac:dyDescent="0.3">
      <c r="A81" s="125">
        <v>26</v>
      </c>
      <c r="B81" s="94"/>
      <c r="C81" s="179"/>
      <c r="D81" s="95"/>
      <c r="E81" s="95"/>
      <c r="F81" s="115"/>
    </row>
    <row r="82" spans="1:6" ht="16.5" thickBot="1" x14ac:dyDescent="0.3">
      <c r="A82" s="125">
        <v>27</v>
      </c>
      <c r="B82" s="94"/>
      <c r="C82" s="179"/>
      <c r="D82" s="95"/>
      <c r="E82" s="95"/>
      <c r="F82" s="115"/>
    </row>
    <row r="83" spans="1:6" ht="16.5" thickBot="1" x14ac:dyDescent="0.3">
      <c r="A83" s="125">
        <v>28</v>
      </c>
      <c r="B83" s="94"/>
      <c r="C83" s="179"/>
      <c r="D83" s="95"/>
      <c r="E83" s="95"/>
      <c r="F83" s="115"/>
    </row>
    <row r="84" spans="1:6" ht="16.5" thickBot="1" x14ac:dyDescent="0.3">
      <c r="A84" s="125">
        <v>29</v>
      </c>
      <c r="B84" s="94"/>
      <c r="C84" s="179"/>
      <c r="D84" s="95"/>
      <c r="E84" s="95"/>
      <c r="F84" s="115"/>
    </row>
    <row r="85" spans="1:6" ht="16.5" thickBot="1" x14ac:dyDescent="0.3">
      <c r="A85" s="125">
        <v>30</v>
      </c>
      <c r="B85" s="94"/>
      <c r="C85" s="179"/>
      <c r="D85" s="95"/>
      <c r="E85" s="95"/>
      <c r="F85" s="115"/>
    </row>
    <row r="86" spans="1:6" ht="16.5" thickBot="1" x14ac:dyDescent="0.3">
      <c r="A86" s="125">
        <v>31</v>
      </c>
      <c r="B86" s="94"/>
      <c r="C86" s="179"/>
      <c r="D86" s="95"/>
      <c r="E86" s="95"/>
      <c r="F86" s="115"/>
    </row>
    <row r="87" spans="1:6" ht="16.5" thickBot="1" x14ac:dyDescent="0.3">
      <c r="A87" s="125">
        <v>32</v>
      </c>
      <c r="B87" s="94"/>
      <c r="C87" s="179"/>
      <c r="D87" s="95"/>
      <c r="E87" s="95"/>
      <c r="F87" s="115"/>
    </row>
    <row r="88" spans="1:6" ht="16.5" thickBot="1" x14ac:dyDescent="0.3">
      <c r="A88" s="125">
        <v>33</v>
      </c>
      <c r="B88" s="94"/>
      <c r="C88" s="179"/>
      <c r="D88" s="95"/>
      <c r="E88" s="95"/>
      <c r="F88" s="115"/>
    </row>
    <row r="89" spans="1:6" ht="16.5" thickBot="1" x14ac:dyDescent="0.3">
      <c r="A89" s="125">
        <v>34</v>
      </c>
      <c r="B89" s="94"/>
      <c r="C89" s="179"/>
      <c r="D89" s="95"/>
      <c r="E89" s="95"/>
      <c r="F89" s="115"/>
    </row>
    <row r="90" spans="1:6" ht="16.5" thickBot="1" x14ac:dyDescent="0.3">
      <c r="A90" s="125">
        <v>35</v>
      </c>
      <c r="B90" s="94"/>
      <c r="C90" s="179"/>
      <c r="D90" s="95"/>
      <c r="E90" s="95"/>
      <c r="F90" s="115"/>
    </row>
    <row r="91" spans="1:6" ht="16.5" thickBot="1" x14ac:dyDescent="0.3">
      <c r="A91" s="125">
        <v>36</v>
      </c>
      <c r="B91" s="94"/>
      <c r="C91" s="179"/>
      <c r="D91" s="95"/>
      <c r="E91" s="95"/>
      <c r="F91" s="115"/>
    </row>
    <row r="92" spans="1:6" ht="16.5" thickBot="1" x14ac:dyDescent="0.3">
      <c r="A92" s="125">
        <v>37</v>
      </c>
      <c r="B92" s="94"/>
      <c r="C92" s="179"/>
      <c r="D92" s="95"/>
      <c r="E92" s="95"/>
      <c r="F92" s="115"/>
    </row>
    <row r="93" spans="1:6" ht="16.5" thickBot="1" x14ac:dyDescent="0.3">
      <c r="A93" s="125">
        <v>38</v>
      </c>
      <c r="B93" s="94"/>
      <c r="C93" s="179"/>
      <c r="D93" s="95"/>
      <c r="E93" s="95"/>
      <c r="F93" s="115"/>
    </row>
    <row r="94" spans="1:6" ht="16.5" thickBot="1" x14ac:dyDescent="0.3">
      <c r="A94" s="125">
        <v>39</v>
      </c>
      <c r="B94" s="94"/>
      <c r="C94" s="179"/>
      <c r="D94" s="95"/>
      <c r="E94" s="95"/>
      <c r="F94" s="115"/>
    </row>
    <row r="95" spans="1:6" ht="16.5" thickBot="1" x14ac:dyDescent="0.3">
      <c r="A95" s="125">
        <v>40</v>
      </c>
      <c r="B95" s="94"/>
      <c r="C95" s="179"/>
      <c r="D95" s="95"/>
      <c r="E95" s="95"/>
      <c r="F95" s="115"/>
    </row>
    <row r="96" spans="1:6" ht="16.5" thickBot="1" x14ac:dyDescent="0.3">
      <c r="A96" s="125">
        <v>41</v>
      </c>
      <c r="B96" s="94"/>
      <c r="C96" s="179"/>
      <c r="D96" s="95"/>
      <c r="E96" s="95"/>
      <c r="F96" s="115"/>
    </row>
    <row r="97" spans="1:6" ht="16.5" thickBot="1" x14ac:dyDescent="0.3">
      <c r="A97" s="125">
        <v>42</v>
      </c>
      <c r="B97" s="94"/>
      <c r="C97" s="179"/>
      <c r="D97" s="95"/>
      <c r="E97" s="95"/>
      <c r="F97" s="115"/>
    </row>
    <row r="98" spans="1:6" ht="16.5" thickBot="1" x14ac:dyDescent="0.3">
      <c r="A98" s="125">
        <v>43</v>
      </c>
      <c r="B98" s="94"/>
      <c r="C98" s="179"/>
      <c r="D98" s="95"/>
      <c r="E98" s="95"/>
      <c r="F98" s="115"/>
    </row>
    <row r="99" spans="1:6" ht="16.5" thickBot="1" x14ac:dyDescent="0.3">
      <c r="A99" s="125">
        <v>44</v>
      </c>
      <c r="B99" s="94"/>
      <c r="C99" s="179"/>
      <c r="D99" s="95"/>
      <c r="E99" s="95"/>
      <c r="F99" s="115"/>
    </row>
    <row r="100" spans="1:6" ht="16.5" thickBot="1" x14ac:dyDescent="0.3">
      <c r="A100" s="125">
        <v>45</v>
      </c>
      <c r="B100" s="94"/>
      <c r="C100" s="179"/>
      <c r="D100" s="95"/>
      <c r="E100" s="95"/>
      <c r="F100" s="115"/>
    </row>
    <row r="101" spans="1:6" ht="16.5" thickBot="1" x14ac:dyDescent="0.3">
      <c r="A101" s="125">
        <v>46</v>
      </c>
      <c r="B101" s="94"/>
      <c r="C101" s="179"/>
      <c r="D101" s="95"/>
      <c r="E101" s="95"/>
      <c r="F101" s="115"/>
    </row>
    <row r="102" spans="1:6" ht="16.5" thickBot="1" x14ac:dyDescent="0.3">
      <c r="A102" s="125">
        <v>47</v>
      </c>
      <c r="B102" s="94"/>
      <c r="C102" s="179"/>
      <c r="D102" s="95"/>
      <c r="E102" s="95"/>
      <c r="F102" s="115"/>
    </row>
    <row r="103" spans="1:6" ht="16.5" thickBot="1" x14ac:dyDescent="0.3">
      <c r="A103" s="125">
        <v>48</v>
      </c>
      <c r="B103" s="94"/>
      <c r="C103" s="179"/>
      <c r="D103" s="95"/>
      <c r="E103" s="95"/>
      <c r="F103" s="115"/>
    </row>
    <row r="104" spans="1:6" ht="16.5" thickBot="1" x14ac:dyDescent="0.3">
      <c r="A104" s="125">
        <v>49</v>
      </c>
      <c r="B104" s="94"/>
      <c r="C104" s="179"/>
      <c r="D104" s="95"/>
      <c r="E104" s="95"/>
      <c r="F104" s="115"/>
    </row>
    <row r="105" spans="1:6" ht="16.5" thickBot="1" x14ac:dyDescent="0.3">
      <c r="A105" s="125">
        <v>50</v>
      </c>
      <c r="B105" s="94"/>
      <c r="C105" s="179"/>
      <c r="D105" s="95"/>
      <c r="E105" s="95"/>
      <c r="F105" s="115"/>
    </row>
    <row r="106" spans="1:6" ht="16.5" thickBot="1" x14ac:dyDescent="0.3">
      <c r="A106" s="125">
        <v>51</v>
      </c>
      <c r="B106" s="94"/>
      <c r="C106" s="179"/>
      <c r="D106" s="95"/>
      <c r="E106" s="95"/>
      <c r="F106" s="115"/>
    </row>
    <row r="107" spans="1:6" ht="16.5" thickBot="1" x14ac:dyDescent="0.3">
      <c r="A107" s="125">
        <v>52</v>
      </c>
      <c r="B107" s="94"/>
      <c r="C107" s="179"/>
      <c r="D107" s="95"/>
      <c r="E107" s="95"/>
      <c r="F107" s="115"/>
    </row>
    <row r="108" spans="1:6" ht="16.5" thickBot="1" x14ac:dyDescent="0.3">
      <c r="A108" s="125">
        <v>53</v>
      </c>
      <c r="B108" s="94"/>
      <c r="C108" s="179"/>
      <c r="D108" s="95"/>
      <c r="E108" s="95"/>
      <c r="F108" s="115"/>
    </row>
    <row r="109" spans="1:6" ht="16.5" thickBot="1" x14ac:dyDescent="0.3">
      <c r="A109" s="125">
        <v>54</v>
      </c>
      <c r="B109" s="94"/>
      <c r="C109" s="179"/>
      <c r="D109" s="95"/>
      <c r="E109" s="95"/>
      <c r="F109" s="115"/>
    </row>
    <row r="110" spans="1:6" ht="16.5" thickBot="1" x14ac:dyDescent="0.3">
      <c r="A110" s="125">
        <v>55</v>
      </c>
      <c r="B110" s="94"/>
      <c r="C110" s="179"/>
      <c r="D110" s="95"/>
      <c r="E110" s="95"/>
      <c r="F110" s="115"/>
    </row>
    <row r="111" spans="1:6" ht="16.5" thickBot="1" x14ac:dyDescent="0.3">
      <c r="A111" s="125">
        <v>56</v>
      </c>
      <c r="B111" s="94"/>
      <c r="C111" s="179"/>
      <c r="D111" s="95"/>
      <c r="E111" s="95"/>
      <c r="F111" s="115"/>
    </row>
    <row r="112" spans="1:6" ht="16.5" thickBot="1" x14ac:dyDescent="0.3">
      <c r="A112" s="125">
        <v>57</v>
      </c>
      <c r="B112" s="94"/>
      <c r="C112" s="179"/>
      <c r="D112" s="95"/>
      <c r="E112" s="95"/>
      <c r="F112" s="115"/>
    </row>
    <row r="113" spans="1:6" ht="16.5" thickBot="1" x14ac:dyDescent="0.3">
      <c r="A113" s="93"/>
      <c r="B113" s="94"/>
      <c r="C113" s="94"/>
      <c r="D113" s="95"/>
      <c r="E113" s="95"/>
      <c r="F113" s="96"/>
    </row>
    <row r="114" spans="1:6" ht="16.5" thickBot="1" x14ac:dyDescent="0.3">
      <c r="A114" s="279" t="s">
        <v>36</v>
      </c>
      <c r="B114" s="279"/>
      <c r="C114" s="279"/>
      <c r="D114" s="98">
        <f>SUM(D56:D113)</f>
        <v>0</v>
      </c>
      <c r="E114" s="98">
        <f>SUM(E56:E113)</f>
        <v>140000</v>
      </c>
      <c r="F114" s="99"/>
    </row>
    <row r="115" spans="1:6" ht="15.75" x14ac:dyDescent="0.25">
      <c r="A115" s="90"/>
      <c r="B115" s="90"/>
      <c r="C115" s="90"/>
      <c r="D115" s="129"/>
      <c r="E115" s="129"/>
      <c r="F115" s="130"/>
    </row>
    <row r="116" spans="1:6" ht="16.5" thickBot="1" x14ac:dyDescent="0.3">
      <c r="A116" s="90"/>
      <c r="B116" s="286" t="s">
        <v>155</v>
      </c>
      <c r="C116" s="282"/>
      <c r="D116" s="282"/>
      <c r="E116" s="90"/>
      <c r="F116" s="91"/>
    </row>
    <row r="117" spans="1:6" ht="16.5" thickBot="1" x14ac:dyDescent="0.3">
      <c r="A117" s="97" t="s">
        <v>1</v>
      </c>
      <c r="B117" s="92" t="s">
        <v>2</v>
      </c>
      <c r="C117" s="92" t="s">
        <v>3</v>
      </c>
      <c r="D117" s="97" t="s">
        <v>4</v>
      </c>
      <c r="E117" s="97" t="s">
        <v>5</v>
      </c>
      <c r="F117" s="97" t="s">
        <v>6</v>
      </c>
    </row>
    <row r="118" spans="1:6" ht="16.5" thickBot="1" x14ac:dyDescent="0.3">
      <c r="A118" s="135">
        <v>1</v>
      </c>
      <c r="B118" s="94" t="s">
        <v>154</v>
      </c>
      <c r="C118" s="94" t="s">
        <v>156</v>
      </c>
      <c r="D118" s="95">
        <v>18500</v>
      </c>
      <c r="E118" s="95"/>
      <c r="F118" s="135"/>
    </row>
    <row r="119" spans="1:6" ht="16.5" thickBot="1" x14ac:dyDescent="0.3">
      <c r="A119" s="135">
        <v>2</v>
      </c>
      <c r="B119" s="94" t="s">
        <v>154</v>
      </c>
      <c r="C119" s="204" t="s">
        <v>157</v>
      </c>
      <c r="D119" s="95"/>
      <c r="E119" s="95">
        <v>18500</v>
      </c>
      <c r="F119" s="135"/>
    </row>
    <row r="120" spans="1:6" ht="16.5" thickBot="1" x14ac:dyDescent="0.3">
      <c r="A120" s="135">
        <v>3</v>
      </c>
      <c r="B120" s="94"/>
      <c r="C120" s="245"/>
      <c r="D120" s="95"/>
      <c r="E120" s="95"/>
      <c r="F120" s="135"/>
    </row>
    <row r="121" spans="1:6" ht="16.5" thickBot="1" x14ac:dyDescent="0.3">
      <c r="A121" s="135">
        <v>4</v>
      </c>
      <c r="B121" s="94"/>
      <c r="C121" s="94"/>
      <c r="D121" s="95"/>
      <c r="E121" s="95"/>
      <c r="F121" s="135"/>
    </row>
    <row r="122" spans="1:6" ht="17.25" thickBot="1" x14ac:dyDescent="0.3">
      <c r="A122" s="135">
        <v>5</v>
      </c>
      <c r="B122" s="94"/>
      <c r="C122" s="205"/>
      <c r="D122" s="95"/>
      <c r="E122" s="95"/>
      <c r="F122" s="135"/>
    </row>
    <row r="123" spans="1:6" ht="16.5" thickBot="1" x14ac:dyDescent="0.3">
      <c r="A123" s="135">
        <v>6</v>
      </c>
      <c r="B123" s="94"/>
      <c r="C123" s="94"/>
      <c r="D123" s="95"/>
      <c r="E123" s="95"/>
      <c r="F123" s="135"/>
    </row>
    <row r="124" spans="1:6" ht="16.5" thickBot="1" x14ac:dyDescent="0.3">
      <c r="A124" s="135">
        <v>7</v>
      </c>
      <c r="B124" s="94"/>
      <c r="C124" s="179"/>
      <c r="D124" s="95"/>
      <c r="E124" s="95"/>
      <c r="F124" s="135"/>
    </row>
    <row r="125" spans="1:6" ht="16.5" thickBot="1" x14ac:dyDescent="0.3">
      <c r="A125" s="135">
        <v>8</v>
      </c>
      <c r="B125" s="94"/>
      <c r="C125" s="179"/>
      <c r="D125" s="95"/>
      <c r="E125" s="95"/>
      <c r="F125" s="135"/>
    </row>
    <row r="126" spans="1:6" ht="16.5" thickBot="1" x14ac:dyDescent="0.3">
      <c r="A126" s="135">
        <v>9</v>
      </c>
      <c r="B126" s="94"/>
      <c r="C126" s="179"/>
      <c r="D126" s="95"/>
      <c r="E126" s="95"/>
      <c r="F126" s="135"/>
    </row>
    <row r="127" spans="1:6" ht="16.5" thickBot="1" x14ac:dyDescent="0.3">
      <c r="A127" s="135">
        <v>10</v>
      </c>
      <c r="B127" s="94"/>
      <c r="C127" s="179"/>
      <c r="D127" s="95"/>
      <c r="E127" s="95"/>
      <c r="F127" s="135"/>
    </row>
    <row r="128" spans="1:6" ht="16.5" thickBot="1" x14ac:dyDescent="0.3">
      <c r="A128" s="135">
        <v>11</v>
      </c>
      <c r="B128" s="94"/>
      <c r="C128" s="179"/>
      <c r="D128" s="95"/>
      <c r="E128" s="95"/>
      <c r="F128" s="135"/>
    </row>
    <row r="129" spans="1:6" ht="16.5" thickBot="1" x14ac:dyDescent="0.3">
      <c r="A129" s="135">
        <v>12</v>
      </c>
      <c r="B129" s="94"/>
      <c r="C129" s="179"/>
      <c r="D129" s="95"/>
      <c r="E129" s="95"/>
      <c r="F129" s="135"/>
    </row>
    <row r="130" spans="1:6" ht="16.5" thickBot="1" x14ac:dyDescent="0.3">
      <c r="A130" s="135">
        <v>13</v>
      </c>
      <c r="B130" s="94"/>
      <c r="C130" s="179"/>
      <c r="D130" s="95"/>
      <c r="E130" s="95"/>
      <c r="F130" s="135"/>
    </row>
    <row r="131" spans="1:6" ht="16.5" thickBot="1" x14ac:dyDescent="0.3">
      <c r="A131" s="135">
        <v>14</v>
      </c>
      <c r="B131" s="94"/>
      <c r="C131" s="179"/>
      <c r="D131" s="95"/>
      <c r="E131" s="95"/>
      <c r="F131" s="135"/>
    </row>
    <row r="132" spans="1:6" ht="16.5" thickBot="1" x14ac:dyDescent="0.3">
      <c r="A132" s="135">
        <v>15</v>
      </c>
      <c r="B132" s="94"/>
      <c r="C132" s="179"/>
      <c r="D132" s="95"/>
      <c r="E132" s="95"/>
      <c r="F132" s="135"/>
    </row>
    <row r="133" spans="1:6" ht="16.5" thickBot="1" x14ac:dyDescent="0.3">
      <c r="A133" s="135">
        <v>16</v>
      </c>
      <c r="B133" s="94"/>
      <c r="C133" s="179"/>
      <c r="D133" s="95"/>
      <c r="E133" s="95"/>
      <c r="F133" s="135"/>
    </row>
    <row r="134" spans="1:6" ht="16.5" thickBot="1" x14ac:dyDescent="0.3">
      <c r="A134" s="135">
        <v>17</v>
      </c>
      <c r="B134" s="94"/>
      <c r="C134" s="179"/>
      <c r="D134" s="95"/>
      <c r="E134" s="95"/>
      <c r="F134" s="135"/>
    </row>
    <row r="135" spans="1:6" ht="16.5" thickBot="1" x14ac:dyDescent="0.3">
      <c r="A135" s="135">
        <v>18</v>
      </c>
      <c r="B135" s="94"/>
      <c r="C135" s="179"/>
      <c r="D135" s="95"/>
      <c r="E135" s="95"/>
      <c r="F135" s="135"/>
    </row>
    <row r="136" spans="1:6" ht="16.5" thickBot="1" x14ac:dyDescent="0.3">
      <c r="A136" s="135">
        <v>19</v>
      </c>
      <c r="B136" s="94"/>
      <c r="C136" s="179"/>
      <c r="D136" s="95"/>
      <c r="E136" s="95"/>
      <c r="F136" s="135"/>
    </row>
    <row r="137" spans="1:6" ht="16.5" thickBot="1" x14ac:dyDescent="0.3">
      <c r="A137" s="135">
        <v>20</v>
      </c>
      <c r="B137" s="94"/>
      <c r="C137" s="179"/>
      <c r="D137" s="95"/>
      <c r="E137" s="95"/>
      <c r="F137" s="135"/>
    </row>
    <row r="138" spans="1:6" ht="16.5" thickBot="1" x14ac:dyDescent="0.3">
      <c r="A138" s="135">
        <v>21</v>
      </c>
      <c r="B138" s="94"/>
      <c r="C138" s="179"/>
      <c r="D138" s="95"/>
      <c r="E138" s="95"/>
      <c r="F138" s="135"/>
    </row>
    <row r="139" spans="1:6" ht="16.5" thickBot="1" x14ac:dyDescent="0.3">
      <c r="A139" s="135">
        <v>22</v>
      </c>
      <c r="B139" s="94"/>
      <c r="C139" s="179"/>
      <c r="D139" s="95"/>
      <c r="E139" s="95"/>
      <c r="F139" s="135"/>
    </row>
    <row r="140" spans="1:6" ht="16.5" thickBot="1" x14ac:dyDescent="0.3">
      <c r="A140" s="135">
        <v>23</v>
      </c>
      <c r="B140" s="94"/>
      <c r="C140" s="179"/>
      <c r="D140" s="95"/>
      <c r="E140" s="95"/>
      <c r="F140" s="135"/>
    </row>
    <row r="141" spans="1:6" ht="16.5" thickBot="1" x14ac:dyDescent="0.3">
      <c r="A141" s="135">
        <v>24</v>
      </c>
      <c r="B141" s="94"/>
      <c r="C141" s="179"/>
      <c r="D141" s="95"/>
      <c r="E141" s="95"/>
      <c r="F141" s="135"/>
    </row>
    <row r="142" spans="1:6" ht="16.5" thickBot="1" x14ac:dyDescent="0.3">
      <c r="A142" s="135">
        <v>25</v>
      </c>
      <c r="B142" s="94"/>
      <c r="C142" s="179"/>
      <c r="D142" s="95"/>
      <c r="E142" s="95"/>
      <c r="F142" s="135"/>
    </row>
    <row r="143" spans="1:6" ht="16.5" thickBot="1" x14ac:dyDescent="0.3">
      <c r="A143" s="135">
        <v>26</v>
      </c>
      <c r="B143" s="94"/>
      <c r="C143" s="179"/>
      <c r="D143" s="95"/>
      <c r="E143" s="95"/>
      <c r="F143" s="135"/>
    </row>
    <row r="144" spans="1:6" ht="16.5" thickBot="1" x14ac:dyDescent="0.3">
      <c r="A144" s="135">
        <v>27</v>
      </c>
      <c r="B144" s="94"/>
      <c r="C144" s="179"/>
      <c r="D144" s="95"/>
      <c r="E144" s="95"/>
      <c r="F144" s="135"/>
    </row>
    <row r="145" spans="1:6" ht="16.5" thickBot="1" x14ac:dyDescent="0.3">
      <c r="A145" s="135"/>
      <c r="B145" s="126"/>
      <c r="C145" s="126"/>
      <c r="D145" s="127"/>
      <c r="E145" s="127"/>
      <c r="F145" s="128"/>
    </row>
    <row r="146" spans="1:6" ht="16.5" thickBot="1" x14ac:dyDescent="0.3">
      <c r="A146" s="97"/>
      <c r="B146" s="107"/>
      <c r="C146" s="92" t="s">
        <v>9</v>
      </c>
      <c r="D146" s="108">
        <f>SUM(D118:D145)</f>
        <v>18500</v>
      </c>
      <c r="E146" s="108">
        <f>SUM(E118:E145)</f>
        <v>18500</v>
      </c>
      <c r="F146" s="157"/>
    </row>
    <row r="147" spans="1:6" ht="15.75" x14ac:dyDescent="0.25">
      <c r="A147" s="104"/>
      <c r="B147" s="101"/>
      <c r="C147" s="110"/>
      <c r="D147" s="102"/>
      <c r="E147" s="102"/>
      <c r="F147" s="91"/>
    </row>
    <row r="148" spans="1:6" ht="15.75" x14ac:dyDescent="0.25">
      <c r="A148" s="291" t="s">
        <v>155</v>
      </c>
      <c r="B148" s="287"/>
      <c r="C148" s="287"/>
      <c r="D148" s="287"/>
      <c r="E148" s="287"/>
      <c r="F148" s="287"/>
    </row>
    <row r="149" spans="1:6" ht="16.5" thickBot="1" x14ac:dyDescent="0.3">
      <c r="A149" s="104"/>
      <c r="B149" s="101"/>
      <c r="C149" s="136"/>
      <c r="D149" s="104"/>
      <c r="E149" s="104"/>
      <c r="F149" s="103"/>
    </row>
    <row r="150" spans="1:6" ht="16.5" thickBot="1" x14ac:dyDescent="0.3">
      <c r="A150" s="97" t="s">
        <v>1</v>
      </c>
      <c r="B150" s="92" t="s">
        <v>2</v>
      </c>
      <c r="C150" s="92" t="s">
        <v>3</v>
      </c>
      <c r="D150" s="97" t="s">
        <v>4</v>
      </c>
      <c r="E150" s="97" t="s">
        <v>5</v>
      </c>
      <c r="F150" s="97" t="s">
        <v>6</v>
      </c>
    </row>
    <row r="151" spans="1:6" ht="56.25" customHeight="1" thickBot="1" x14ac:dyDescent="0.3">
      <c r="A151" s="118">
        <v>1</v>
      </c>
      <c r="B151" s="94" t="s">
        <v>154</v>
      </c>
      <c r="C151" s="94" t="s">
        <v>158</v>
      </c>
      <c r="D151" s="95"/>
      <c r="E151" s="95">
        <v>35000</v>
      </c>
      <c r="F151" s="115"/>
    </row>
    <row r="152" spans="1:6" ht="50.25" customHeight="1" thickBot="1" x14ac:dyDescent="0.3">
      <c r="A152" s="118">
        <v>2</v>
      </c>
      <c r="B152" s="94"/>
      <c r="C152" s="94"/>
      <c r="D152" s="95"/>
      <c r="E152" s="95"/>
      <c r="F152" s="115"/>
    </row>
    <row r="153" spans="1:6" ht="63" customHeight="1" thickBot="1" x14ac:dyDescent="0.3">
      <c r="A153" s="118">
        <v>3</v>
      </c>
      <c r="B153" s="94"/>
      <c r="C153" s="94"/>
      <c r="D153" s="95"/>
      <c r="E153" s="95"/>
      <c r="F153" s="115"/>
    </row>
    <row r="154" spans="1:6" ht="30.75" customHeight="1" thickBot="1" x14ac:dyDescent="0.3">
      <c r="A154" s="118">
        <v>4</v>
      </c>
      <c r="B154" s="94"/>
      <c r="C154" s="94"/>
      <c r="D154" s="95"/>
      <c r="E154" s="95"/>
      <c r="F154" s="115"/>
    </row>
    <row r="155" spans="1:6" ht="30.75" customHeight="1" thickBot="1" x14ac:dyDescent="0.3">
      <c r="A155" s="118">
        <v>5</v>
      </c>
      <c r="B155" s="94"/>
      <c r="C155" s="204"/>
      <c r="D155" s="95"/>
      <c r="E155" s="95"/>
      <c r="F155" s="115"/>
    </row>
    <row r="156" spans="1:6" ht="30.75" customHeight="1" thickBot="1" x14ac:dyDescent="0.3">
      <c r="A156" s="118">
        <v>6</v>
      </c>
      <c r="B156" s="94"/>
      <c r="C156" s="94"/>
      <c r="D156" s="95"/>
      <c r="E156" s="95"/>
      <c r="F156" s="115"/>
    </row>
    <row r="157" spans="1:6" ht="30.75" customHeight="1" thickBot="1" x14ac:dyDescent="0.3">
      <c r="A157" s="118">
        <v>7</v>
      </c>
      <c r="B157" s="94"/>
      <c r="C157" s="94"/>
      <c r="D157" s="95"/>
      <c r="E157" s="95"/>
      <c r="F157" s="115"/>
    </row>
    <row r="158" spans="1:6" ht="30.75" customHeight="1" thickBot="1" x14ac:dyDescent="0.3">
      <c r="A158" s="118">
        <v>8</v>
      </c>
      <c r="B158" s="94"/>
      <c r="C158" s="94"/>
      <c r="D158" s="95"/>
      <c r="E158" s="95"/>
      <c r="F158" s="115"/>
    </row>
    <row r="159" spans="1:6" ht="30.75" customHeight="1" thickBot="1" x14ac:dyDescent="0.3">
      <c r="A159" s="118">
        <v>9</v>
      </c>
      <c r="B159" s="94"/>
      <c r="C159" s="179"/>
      <c r="D159" s="95"/>
      <c r="E159" s="95"/>
      <c r="F159" s="115"/>
    </row>
    <row r="160" spans="1:6" ht="30.75" customHeight="1" thickBot="1" x14ac:dyDescent="0.3">
      <c r="A160" s="118">
        <v>13</v>
      </c>
      <c r="B160" s="94"/>
      <c r="C160" s="126"/>
      <c r="D160" s="127"/>
      <c r="E160" s="127"/>
      <c r="F160" s="96"/>
    </row>
    <row r="161" spans="1:8" ht="16.5" thickBot="1" x14ac:dyDescent="0.3">
      <c r="A161" s="93"/>
      <c r="B161" s="94"/>
      <c r="C161" s="120"/>
      <c r="D161" s="95"/>
      <c r="E161" s="95"/>
      <c r="F161" s="96"/>
      <c r="H161" s="42"/>
    </row>
    <row r="162" spans="1:8" ht="16.5" thickBot="1" x14ac:dyDescent="0.3">
      <c r="A162" s="279" t="s">
        <v>92</v>
      </c>
      <c r="B162" s="279"/>
      <c r="C162" s="279"/>
      <c r="D162" s="98">
        <f>SUM(D151:D161)</f>
        <v>0</v>
      </c>
      <c r="E162" s="98">
        <f>SUM(E151:E160)</f>
        <v>35000</v>
      </c>
      <c r="F162" s="99"/>
      <c r="G162" s="42"/>
    </row>
    <row r="163" spans="1:8" ht="15.75" x14ac:dyDescent="0.25">
      <c r="A163" s="100"/>
      <c r="B163" s="101"/>
      <c r="C163" s="101"/>
      <c r="D163" s="102"/>
      <c r="E163" s="102"/>
      <c r="F163" s="103"/>
    </row>
    <row r="164" spans="1:8" ht="15.75" x14ac:dyDescent="0.25">
      <c r="A164" s="291" t="s">
        <v>160</v>
      </c>
      <c r="B164" s="287"/>
      <c r="C164" s="287"/>
      <c r="D164" s="287"/>
      <c r="E164" s="287"/>
      <c r="F164" s="287"/>
    </row>
    <row r="165" spans="1:8" ht="16.5" thickBot="1" x14ac:dyDescent="0.3">
      <c r="A165" s="90"/>
      <c r="B165" s="286"/>
      <c r="C165" s="282"/>
      <c r="D165" s="282"/>
      <c r="E165" s="90"/>
      <c r="F165" s="91"/>
    </row>
    <row r="166" spans="1:8" ht="16.5" thickBot="1" x14ac:dyDescent="0.3">
      <c r="A166" s="97" t="s">
        <v>1</v>
      </c>
      <c r="B166" s="92" t="s">
        <v>2</v>
      </c>
      <c r="C166" s="92" t="s">
        <v>3</v>
      </c>
      <c r="D166" s="97" t="s">
        <v>4</v>
      </c>
      <c r="E166" s="97" t="s">
        <v>5</v>
      </c>
      <c r="F166" s="97" t="s">
        <v>6</v>
      </c>
    </row>
    <row r="167" spans="1:8" ht="67.5" customHeight="1" thickBot="1" x14ac:dyDescent="0.3">
      <c r="A167" s="97">
        <v>1</v>
      </c>
      <c r="B167" s="94" t="s">
        <v>140</v>
      </c>
      <c r="C167" s="94" t="s">
        <v>112</v>
      </c>
      <c r="D167" s="95"/>
      <c r="E167" s="95">
        <v>10000</v>
      </c>
      <c r="F167" s="97"/>
    </row>
    <row r="168" spans="1:8" ht="76.5" customHeight="1" thickBot="1" x14ac:dyDescent="0.3">
      <c r="A168" s="93">
        <v>2</v>
      </c>
      <c r="B168" s="94" t="s">
        <v>140</v>
      </c>
      <c r="C168" s="94" t="s">
        <v>150</v>
      </c>
      <c r="D168" s="95"/>
      <c r="E168" s="95">
        <v>10000</v>
      </c>
      <c r="F168" s="97"/>
    </row>
    <row r="169" spans="1:8" ht="56.25" customHeight="1" thickBot="1" x14ac:dyDescent="0.3">
      <c r="A169" s="93">
        <v>3</v>
      </c>
      <c r="B169" s="94"/>
      <c r="C169" s="94"/>
      <c r="D169" s="95"/>
      <c r="E169" s="95"/>
      <c r="F169" s="97"/>
    </row>
    <row r="170" spans="1:8" ht="56.25" customHeight="1" thickBot="1" x14ac:dyDescent="0.3">
      <c r="A170" s="93">
        <v>4</v>
      </c>
      <c r="B170" s="94"/>
      <c r="C170" s="94"/>
      <c r="D170" s="95"/>
      <c r="E170" s="95"/>
      <c r="F170" s="97"/>
    </row>
    <row r="171" spans="1:8" ht="36.75" customHeight="1" thickBot="1" x14ac:dyDescent="0.3">
      <c r="A171" s="93">
        <v>5</v>
      </c>
      <c r="B171" s="94"/>
      <c r="C171" s="204"/>
      <c r="D171" s="95"/>
      <c r="E171" s="95"/>
      <c r="F171" s="97"/>
    </row>
    <row r="172" spans="1:8" ht="36.75" customHeight="1" thickBot="1" x14ac:dyDescent="0.3">
      <c r="A172" s="93">
        <v>6</v>
      </c>
      <c r="B172" s="94"/>
      <c r="C172" s="205"/>
      <c r="D172" s="95"/>
      <c r="E172" s="95"/>
      <c r="F172" s="97"/>
    </row>
    <row r="173" spans="1:8" ht="36.75" customHeight="1" thickBot="1" x14ac:dyDescent="0.3">
      <c r="A173" s="93">
        <v>7</v>
      </c>
      <c r="B173" s="94"/>
      <c r="C173" s="94"/>
      <c r="D173" s="95"/>
      <c r="E173" s="95"/>
      <c r="F173" s="97"/>
    </row>
    <row r="174" spans="1:8" ht="36.75" customHeight="1" thickBot="1" x14ac:dyDescent="0.3">
      <c r="A174" s="93">
        <v>8</v>
      </c>
      <c r="B174" s="94"/>
      <c r="C174" s="204"/>
      <c r="D174" s="95"/>
      <c r="E174" s="95"/>
      <c r="F174" s="97"/>
    </row>
    <row r="175" spans="1:8" ht="36.75" customHeight="1" thickBot="1" x14ac:dyDescent="0.3">
      <c r="A175" s="93">
        <v>9</v>
      </c>
      <c r="B175" s="94"/>
      <c r="C175" s="205"/>
      <c r="D175" s="95"/>
      <c r="E175" s="95"/>
      <c r="F175" s="97"/>
    </row>
    <row r="176" spans="1:8" ht="22.5" customHeight="1" thickBot="1" x14ac:dyDescent="0.3">
      <c r="A176" s="93">
        <v>10</v>
      </c>
      <c r="B176" s="94"/>
      <c r="C176" s="94"/>
      <c r="D176" s="95"/>
      <c r="E176" s="95"/>
      <c r="F176" s="97"/>
    </row>
    <row r="177" spans="1:6" ht="22.5" customHeight="1" thickBot="1" x14ac:dyDescent="0.3">
      <c r="A177" s="93">
        <v>11</v>
      </c>
      <c r="B177" s="94"/>
      <c r="C177" s="94"/>
      <c r="D177" s="95"/>
      <c r="E177" s="95"/>
      <c r="F177" s="97"/>
    </row>
    <row r="178" spans="1:6" ht="22.5" customHeight="1" thickBot="1" x14ac:dyDescent="0.3">
      <c r="A178" s="93">
        <v>12</v>
      </c>
      <c r="B178" s="94"/>
      <c r="C178" s="189"/>
      <c r="D178" s="95"/>
      <c r="E178" s="95"/>
      <c r="F178" s="97"/>
    </row>
    <row r="179" spans="1:6" ht="22.5" customHeight="1" thickBot="1" x14ac:dyDescent="0.3">
      <c r="A179" s="93">
        <v>13</v>
      </c>
      <c r="B179" s="93"/>
      <c r="C179" s="93"/>
      <c r="D179" s="95"/>
      <c r="E179" s="95"/>
      <c r="F179" s="97"/>
    </row>
    <row r="180" spans="1:6" ht="22.5" customHeight="1" thickBot="1" x14ac:dyDescent="0.3">
      <c r="A180" s="93">
        <v>14</v>
      </c>
      <c r="B180" s="93"/>
      <c r="C180" s="93"/>
      <c r="D180" s="95"/>
      <c r="E180" s="95"/>
      <c r="F180" s="97"/>
    </row>
    <row r="181" spans="1:6" ht="22.5" customHeight="1" thickBot="1" x14ac:dyDescent="0.3">
      <c r="A181" s="93">
        <v>15</v>
      </c>
      <c r="B181" s="94"/>
      <c r="C181" s="189"/>
      <c r="D181" s="95"/>
      <c r="E181" s="95"/>
      <c r="F181" s="97"/>
    </row>
    <row r="182" spans="1:6" ht="22.5" customHeight="1" thickBot="1" x14ac:dyDescent="0.3">
      <c r="A182" s="93">
        <v>16</v>
      </c>
      <c r="B182" s="94"/>
      <c r="C182" s="189"/>
      <c r="D182" s="95"/>
      <c r="E182" s="95"/>
      <c r="F182" s="97"/>
    </row>
    <row r="183" spans="1:6" ht="22.5" customHeight="1" thickBot="1" x14ac:dyDescent="0.3">
      <c r="A183" s="93">
        <v>17</v>
      </c>
      <c r="B183" s="93"/>
      <c r="C183" s="93"/>
      <c r="D183" s="95"/>
      <c r="E183" s="95"/>
      <c r="F183" s="97"/>
    </row>
    <row r="184" spans="1:6" ht="22.5" customHeight="1" thickBot="1" x14ac:dyDescent="0.3">
      <c r="A184" s="93">
        <v>18</v>
      </c>
      <c r="B184" s="93"/>
      <c r="C184" s="93"/>
      <c r="D184" s="95"/>
      <c r="E184" s="95"/>
      <c r="F184" s="97"/>
    </row>
    <row r="185" spans="1:6" ht="22.5" customHeight="1" thickBot="1" x14ac:dyDescent="0.3">
      <c r="A185" s="93">
        <v>19</v>
      </c>
      <c r="B185" s="94"/>
      <c r="C185" s="189"/>
      <c r="D185" s="95"/>
      <c r="E185" s="95"/>
      <c r="F185" s="97"/>
    </row>
    <row r="186" spans="1:6" ht="22.5" customHeight="1" thickBot="1" x14ac:dyDescent="0.3">
      <c r="A186" s="93">
        <v>20</v>
      </c>
      <c r="B186" s="94"/>
      <c r="C186" s="189"/>
      <c r="D186" s="95"/>
      <c r="E186" s="95"/>
      <c r="F186" s="97"/>
    </row>
    <row r="187" spans="1:6" ht="22.5" customHeight="1" thickBot="1" x14ac:dyDescent="0.3">
      <c r="A187" s="93">
        <v>21</v>
      </c>
      <c r="B187" s="120"/>
      <c r="C187" s="93"/>
      <c r="D187" s="95"/>
      <c r="E187" s="95"/>
      <c r="F187" s="97"/>
    </row>
    <row r="188" spans="1:6" ht="22.5" customHeight="1" thickBot="1" x14ac:dyDescent="0.3">
      <c r="A188" s="93">
        <v>22</v>
      </c>
      <c r="B188" s="120"/>
      <c r="C188" s="93"/>
      <c r="D188" s="95"/>
      <c r="E188" s="95"/>
      <c r="F188" s="97"/>
    </row>
    <row r="189" spans="1:6" ht="22.5" customHeight="1" thickBot="1" x14ac:dyDescent="0.3">
      <c r="A189" s="93">
        <v>23</v>
      </c>
      <c r="B189" s="94"/>
      <c r="C189" s="189"/>
      <c r="D189" s="95"/>
      <c r="E189" s="95"/>
      <c r="F189" s="97"/>
    </row>
    <row r="190" spans="1:6" ht="22.5" customHeight="1" thickBot="1" x14ac:dyDescent="0.3">
      <c r="A190" s="93">
        <v>24</v>
      </c>
      <c r="B190" s="94"/>
      <c r="C190" s="189"/>
      <c r="D190" s="95"/>
      <c r="E190" s="95"/>
      <c r="F190" s="97"/>
    </row>
    <row r="191" spans="1:6" ht="22.5" customHeight="1" thickBot="1" x14ac:dyDescent="0.3">
      <c r="A191" s="93">
        <v>25</v>
      </c>
      <c r="B191" s="120"/>
      <c r="C191" s="93"/>
      <c r="D191" s="95"/>
      <c r="E191" s="95"/>
      <c r="F191" s="97"/>
    </row>
    <row r="192" spans="1:6" ht="22.5" customHeight="1" thickBot="1" x14ac:dyDescent="0.3">
      <c r="A192" s="93">
        <v>26</v>
      </c>
      <c r="B192" s="120"/>
      <c r="C192" s="93"/>
      <c r="D192" s="95"/>
      <c r="E192" s="95"/>
      <c r="F192" s="97"/>
    </row>
    <row r="193" spans="1:6" ht="22.5" customHeight="1" thickBot="1" x14ac:dyDescent="0.3">
      <c r="A193" s="93">
        <v>27</v>
      </c>
      <c r="B193" s="94"/>
      <c r="C193" s="189"/>
      <c r="D193" s="95"/>
      <c r="E193" s="95"/>
      <c r="F193" s="97"/>
    </row>
    <row r="194" spans="1:6" ht="22.5" customHeight="1" thickBot="1" x14ac:dyDescent="0.3">
      <c r="A194" s="93">
        <v>28</v>
      </c>
      <c r="B194" s="94"/>
      <c r="C194" s="189"/>
      <c r="D194" s="95"/>
      <c r="E194" s="95"/>
      <c r="F194" s="97"/>
    </row>
    <row r="195" spans="1:6" ht="22.5" customHeight="1" thickBot="1" x14ac:dyDescent="0.3">
      <c r="A195" s="93">
        <v>29</v>
      </c>
      <c r="B195" s="120"/>
      <c r="C195" s="93"/>
      <c r="D195" s="95"/>
      <c r="E195" s="95"/>
      <c r="F195" s="97"/>
    </row>
    <row r="196" spans="1:6" ht="22.5" customHeight="1" thickBot="1" x14ac:dyDescent="0.3">
      <c r="A196" s="93">
        <v>30</v>
      </c>
      <c r="B196" s="120"/>
      <c r="C196" s="93"/>
      <c r="D196" s="95"/>
      <c r="E196" s="95"/>
      <c r="F196" s="97"/>
    </row>
    <row r="197" spans="1:6" ht="22.5" customHeight="1" thickBot="1" x14ac:dyDescent="0.3">
      <c r="A197" s="93">
        <v>31</v>
      </c>
      <c r="B197" s="94"/>
      <c r="C197" s="189"/>
      <c r="D197" s="95"/>
      <c r="E197" s="95"/>
      <c r="F197" s="97"/>
    </row>
    <row r="198" spans="1:6" ht="22.5" customHeight="1" thickBot="1" x14ac:dyDescent="0.3">
      <c r="A198" s="93">
        <v>32</v>
      </c>
      <c r="B198" s="94"/>
      <c r="C198" s="189"/>
      <c r="D198" s="95"/>
      <c r="E198" s="95"/>
      <c r="F198" s="97"/>
    </row>
    <row r="199" spans="1:6" ht="22.5" customHeight="1" thickBot="1" x14ac:dyDescent="0.3">
      <c r="A199" s="93">
        <v>33</v>
      </c>
      <c r="B199" s="120"/>
      <c r="C199" s="93"/>
      <c r="D199" s="95"/>
      <c r="E199" s="95"/>
      <c r="F199" s="97"/>
    </row>
    <row r="200" spans="1:6" ht="22.5" customHeight="1" thickBot="1" x14ac:dyDescent="0.3">
      <c r="A200" s="93">
        <v>34</v>
      </c>
      <c r="B200" s="120"/>
      <c r="C200" s="93"/>
      <c r="D200" s="95"/>
      <c r="E200" s="95"/>
      <c r="F200" s="97"/>
    </row>
    <row r="201" spans="1:6" ht="22.5" customHeight="1" thickBot="1" x14ac:dyDescent="0.3">
      <c r="A201" s="93">
        <v>35</v>
      </c>
      <c r="B201" s="94"/>
      <c r="C201" s="189"/>
      <c r="D201" s="95"/>
      <c r="E201" s="95"/>
      <c r="F201" s="97"/>
    </row>
    <row r="202" spans="1:6" ht="22.5" customHeight="1" thickBot="1" x14ac:dyDescent="0.3">
      <c r="A202" s="93">
        <v>36</v>
      </c>
      <c r="B202" s="94"/>
      <c r="C202" s="189"/>
      <c r="D202" s="95"/>
      <c r="E202" s="95"/>
      <c r="F202" s="97"/>
    </row>
    <row r="203" spans="1:6" ht="22.5" customHeight="1" thickBot="1" x14ac:dyDescent="0.3">
      <c r="A203" s="93">
        <v>37</v>
      </c>
      <c r="B203" s="120"/>
      <c r="C203" s="93"/>
      <c r="D203" s="95"/>
      <c r="E203" s="95"/>
      <c r="F203" s="97"/>
    </row>
    <row r="204" spans="1:6" ht="22.5" customHeight="1" thickBot="1" x14ac:dyDescent="0.3">
      <c r="A204" s="93">
        <v>38</v>
      </c>
      <c r="B204" s="120"/>
      <c r="C204" s="93"/>
      <c r="D204" s="95"/>
      <c r="E204" s="95"/>
      <c r="F204" s="97"/>
    </row>
    <row r="205" spans="1:6" ht="22.5" customHeight="1" thickBot="1" x14ac:dyDescent="0.3">
      <c r="A205" s="93">
        <v>39</v>
      </c>
      <c r="B205" s="94"/>
      <c r="C205" s="189"/>
      <c r="D205" s="95"/>
      <c r="E205" s="95"/>
      <c r="F205" s="97"/>
    </row>
    <row r="206" spans="1:6" ht="22.5" customHeight="1" thickBot="1" x14ac:dyDescent="0.3">
      <c r="A206" s="93">
        <v>40</v>
      </c>
      <c r="B206" s="94"/>
      <c r="C206" s="189"/>
      <c r="D206" s="95"/>
      <c r="E206" s="95"/>
      <c r="F206" s="97"/>
    </row>
    <row r="207" spans="1:6" ht="22.5" customHeight="1" thickBot="1" x14ac:dyDescent="0.3">
      <c r="A207" s="93">
        <v>41</v>
      </c>
      <c r="B207" s="120"/>
      <c r="C207" s="93"/>
      <c r="D207" s="95"/>
      <c r="E207" s="95"/>
      <c r="F207" s="97"/>
    </row>
    <row r="208" spans="1:6" ht="22.5" customHeight="1" thickBot="1" x14ac:dyDescent="0.3">
      <c r="A208" s="93">
        <v>42</v>
      </c>
      <c r="B208" s="120"/>
      <c r="C208" s="93"/>
      <c r="D208" s="95"/>
      <c r="E208" s="95"/>
      <c r="F208" s="97"/>
    </row>
    <row r="209" spans="1:6" ht="22.5" customHeight="1" thickBot="1" x14ac:dyDescent="0.3">
      <c r="A209" s="93">
        <v>43</v>
      </c>
      <c r="B209" s="94"/>
      <c r="C209" s="189"/>
      <c r="D209" s="95"/>
      <c r="E209" s="95"/>
      <c r="F209" s="97"/>
    </row>
    <row r="210" spans="1:6" ht="22.5" customHeight="1" thickBot="1" x14ac:dyDescent="0.3">
      <c r="A210" s="93">
        <v>44</v>
      </c>
      <c r="B210" s="94"/>
      <c r="C210" s="189"/>
      <c r="D210" s="95"/>
      <c r="E210" s="95"/>
      <c r="F210" s="97"/>
    </row>
    <row r="211" spans="1:6" ht="22.5" customHeight="1" thickBot="1" x14ac:dyDescent="0.3">
      <c r="A211" s="93">
        <v>45</v>
      </c>
      <c r="B211" s="120"/>
      <c r="C211" s="93"/>
      <c r="D211" s="95"/>
      <c r="E211" s="95"/>
      <c r="F211" s="97"/>
    </row>
    <row r="212" spans="1:6" ht="22.5" customHeight="1" thickBot="1" x14ac:dyDescent="0.3">
      <c r="A212" s="93">
        <v>46</v>
      </c>
      <c r="B212" s="120"/>
      <c r="C212" s="93"/>
      <c r="D212" s="95"/>
      <c r="E212" s="95"/>
      <c r="F212" s="97"/>
    </row>
    <row r="213" spans="1:6" ht="22.5" customHeight="1" thickBot="1" x14ac:dyDescent="0.3">
      <c r="A213" s="93">
        <v>47</v>
      </c>
      <c r="B213" s="94"/>
      <c r="C213" s="189"/>
      <c r="D213" s="95"/>
      <c r="E213" s="95"/>
      <c r="F213" s="97"/>
    </row>
    <row r="214" spans="1:6" ht="22.5" customHeight="1" thickBot="1" x14ac:dyDescent="0.3">
      <c r="A214" s="93">
        <v>48</v>
      </c>
      <c r="B214" s="94"/>
      <c r="C214" s="189"/>
      <c r="D214" s="95"/>
      <c r="E214" s="95"/>
      <c r="F214" s="97"/>
    </row>
    <row r="215" spans="1:6" ht="22.5" customHeight="1" thickBot="1" x14ac:dyDescent="0.3">
      <c r="A215" s="93">
        <v>49</v>
      </c>
      <c r="B215" s="120"/>
      <c r="C215" s="93"/>
      <c r="D215" s="95"/>
      <c r="E215" s="95"/>
      <c r="F215" s="97"/>
    </row>
    <row r="216" spans="1:6" ht="22.5" customHeight="1" thickBot="1" x14ac:dyDescent="0.3">
      <c r="A216" s="93">
        <v>50</v>
      </c>
      <c r="B216" s="120"/>
      <c r="C216" s="93"/>
      <c r="D216" s="95"/>
      <c r="E216" s="95"/>
      <c r="F216" s="97"/>
    </row>
    <row r="217" spans="1:6" ht="22.5" customHeight="1" thickBot="1" x14ac:dyDescent="0.3">
      <c r="A217" s="93">
        <v>51</v>
      </c>
      <c r="B217" s="94"/>
      <c r="C217" s="189"/>
      <c r="D217" s="95"/>
      <c r="E217" s="95"/>
      <c r="F217" s="97"/>
    </row>
    <row r="218" spans="1:6" ht="22.5" customHeight="1" thickBot="1" x14ac:dyDescent="0.3">
      <c r="A218" s="93">
        <v>52</v>
      </c>
      <c r="B218" s="94"/>
      <c r="C218" s="189"/>
      <c r="D218" s="95"/>
      <c r="E218" s="95"/>
      <c r="F218" s="97"/>
    </row>
    <row r="219" spans="1:6" ht="22.5" customHeight="1" thickBot="1" x14ac:dyDescent="0.3">
      <c r="A219" s="93">
        <v>53</v>
      </c>
      <c r="B219" s="120"/>
      <c r="C219" s="93"/>
      <c r="D219" s="95"/>
      <c r="E219" s="95"/>
      <c r="F219" s="97"/>
    </row>
    <row r="220" spans="1:6" ht="22.5" customHeight="1" thickBot="1" x14ac:dyDescent="0.3">
      <c r="A220" s="93">
        <v>54</v>
      </c>
      <c r="B220" s="120"/>
      <c r="C220" s="93"/>
      <c r="D220" s="95"/>
      <c r="E220" s="95"/>
      <c r="F220" s="97"/>
    </row>
    <row r="221" spans="1:6" ht="22.5" customHeight="1" thickBot="1" x14ac:dyDescent="0.3">
      <c r="A221" s="93">
        <v>55</v>
      </c>
      <c r="B221" s="94"/>
      <c r="C221" s="189"/>
      <c r="D221" s="95"/>
      <c r="E221" s="95"/>
      <c r="F221" s="97"/>
    </row>
    <row r="222" spans="1:6" ht="22.5" customHeight="1" thickBot="1" x14ac:dyDescent="0.3">
      <c r="A222" s="93">
        <v>56</v>
      </c>
      <c r="B222" s="94"/>
      <c r="C222" s="189"/>
      <c r="D222" s="95"/>
      <c r="E222" s="95"/>
      <c r="F222" s="97"/>
    </row>
    <row r="223" spans="1:6" ht="22.5" customHeight="1" thickBot="1" x14ac:dyDescent="0.3">
      <c r="A223" s="93">
        <v>57</v>
      </c>
      <c r="B223" s="120"/>
      <c r="C223" s="93"/>
      <c r="D223" s="95"/>
      <c r="E223" s="95"/>
      <c r="F223" s="97"/>
    </row>
    <row r="224" spans="1:6" ht="22.5" customHeight="1" thickBot="1" x14ac:dyDescent="0.3">
      <c r="A224" s="93">
        <v>58</v>
      </c>
      <c r="B224" s="120"/>
      <c r="C224" s="93"/>
      <c r="D224" s="95"/>
      <c r="E224" s="95"/>
      <c r="F224" s="97"/>
    </row>
    <row r="225" spans="1:6" ht="22.5" customHeight="1" thickBot="1" x14ac:dyDescent="0.3">
      <c r="A225" s="93">
        <v>59</v>
      </c>
      <c r="B225" s="94"/>
      <c r="C225" s="189"/>
      <c r="D225" s="95"/>
      <c r="E225" s="95"/>
      <c r="F225" s="97"/>
    </row>
    <row r="226" spans="1:6" ht="22.5" customHeight="1" thickBot="1" x14ac:dyDescent="0.3">
      <c r="A226" s="93">
        <v>60</v>
      </c>
      <c r="B226" s="94"/>
      <c r="C226" s="189"/>
      <c r="D226" s="95"/>
      <c r="E226" s="95"/>
      <c r="F226" s="97"/>
    </row>
    <row r="227" spans="1:6" ht="22.5" customHeight="1" thickBot="1" x14ac:dyDescent="0.3">
      <c r="A227" s="93">
        <v>61</v>
      </c>
      <c r="B227" s="120"/>
      <c r="C227" s="93"/>
      <c r="D227" s="95"/>
      <c r="E227" s="95"/>
      <c r="F227" s="97"/>
    </row>
    <row r="228" spans="1:6" ht="22.5" customHeight="1" thickBot="1" x14ac:dyDescent="0.3">
      <c r="A228" s="93">
        <v>62</v>
      </c>
      <c r="B228" s="120"/>
      <c r="C228" s="93"/>
      <c r="D228" s="95"/>
      <c r="E228" s="95"/>
      <c r="F228" s="97"/>
    </row>
    <row r="229" spans="1:6" ht="37.5" customHeight="1" thickBot="1" x14ac:dyDescent="0.3">
      <c r="A229" s="93">
        <v>63</v>
      </c>
      <c r="B229" s="94"/>
      <c r="C229" s="179"/>
      <c r="D229" s="95"/>
      <c r="E229" s="95"/>
      <c r="F229" s="97"/>
    </row>
    <row r="230" spans="1:6" ht="48.75" customHeight="1" thickBot="1" x14ac:dyDescent="0.3">
      <c r="A230" s="93">
        <v>64</v>
      </c>
      <c r="B230" s="94"/>
      <c r="C230" s="179"/>
      <c r="D230" s="95"/>
      <c r="E230" s="95"/>
      <c r="F230" s="97"/>
    </row>
    <row r="231" spans="1:6" ht="49.5" customHeight="1" thickBot="1" x14ac:dyDescent="0.3">
      <c r="A231" s="93">
        <v>65</v>
      </c>
      <c r="B231" s="94"/>
      <c r="C231" s="179"/>
      <c r="D231" s="95"/>
      <c r="E231" s="95"/>
      <c r="F231" s="97"/>
    </row>
    <row r="232" spans="1:6" ht="37.5" customHeight="1" thickBot="1" x14ac:dyDescent="0.3">
      <c r="A232" s="93">
        <v>66</v>
      </c>
      <c r="B232" s="94"/>
      <c r="C232" s="179"/>
      <c r="D232" s="95"/>
      <c r="E232" s="95"/>
      <c r="F232" s="97"/>
    </row>
    <row r="233" spans="1:6" ht="51.75" customHeight="1" thickBot="1" x14ac:dyDescent="0.3">
      <c r="A233" s="93">
        <v>67</v>
      </c>
      <c r="B233" s="94"/>
      <c r="C233" s="179"/>
      <c r="D233" s="95"/>
      <c r="E233" s="95"/>
      <c r="F233" s="97"/>
    </row>
    <row r="234" spans="1:6" ht="46.5" customHeight="1" thickBot="1" x14ac:dyDescent="0.3">
      <c r="A234" s="93">
        <v>68</v>
      </c>
      <c r="B234" s="94"/>
      <c r="C234" s="179"/>
      <c r="D234" s="95"/>
      <c r="E234" s="95"/>
      <c r="F234" s="97"/>
    </row>
    <row r="235" spans="1:6" ht="16.5" thickBot="1" x14ac:dyDescent="0.3">
      <c r="A235" s="93"/>
      <c r="B235" s="94"/>
      <c r="C235" s="120"/>
      <c r="D235" s="95"/>
      <c r="E235" s="95"/>
      <c r="F235" s="96"/>
    </row>
    <row r="236" spans="1:6" ht="16.5" thickBot="1" x14ac:dyDescent="0.3">
      <c r="A236" s="279" t="s">
        <v>9</v>
      </c>
      <c r="B236" s="279"/>
      <c r="C236" s="279"/>
      <c r="D236" s="98">
        <f>SUM(D167:D235)</f>
        <v>0</v>
      </c>
      <c r="E236" s="98">
        <f>SUM(E167:E235)</f>
        <v>20000</v>
      </c>
      <c r="F236" s="99"/>
    </row>
    <row r="237" spans="1:6" ht="15.75" x14ac:dyDescent="0.25">
      <c r="A237" s="100"/>
      <c r="B237" s="101"/>
      <c r="C237" s="101"/>
      <c r="D237" s="102"/>
      <c r="E237" s="102"/>
      <c r="F237" s="103"/>
    </row>
    <row r="238" spans="1:6" ht="15.75" x14ac:dyDescent="0.25">
      <c r="A238" s="291" t="s">
        <v>159</v>
      </c>
      <c r="B238" s="287"/>
      <c r="C238" s="287"/>
      <c r="D238" s="287"/>
      <c r="E238" s="287"/>
      <c r="F238" s="287"/>
    </row>
    <row r="239" spans="1:6" ht="16.5" thickBot="1" x14ac:dyDescent="0.3">
      <c r="A239" s="90"/>
      <c r="B239" s="286"/>
      <c r="C239" s="282"/>
      <c r="D239" s="282"/>
      <c r="E239" s="90"/>
      <c r="F239" s="91"/>
    </row>
    <row r="240" spans="1:6" ht="16.5" thickBot="1" x14ac:dyDescent="0.3">
      <c r="A240" s="97" t="s">
        <v>1</v>
      </c>
      <c r="B240" s="92" t="s">
        <v>2</v>
      </c>
      <c r="C240" s="92" t="s">
        <v>3</v>
      </c>
      <c r="D240" s="97" t="s">
        <v>4</v>
      </c>
      <c r="E240" s="97" t="s">
        <v>5</v>
      </c>
      <c r="F240" s="97" t="s">
        <v>6</v>
      </c>
    </row>
    <row r="241" spans="1:6" ht="16.5" thickBot="1" x14ac:dyDescent="0.3">
      <c r="A241" s="97">
        <v>1</v>
      </c>
      <c r="B241" s="94" t="s">
        <v>140</v>
      </c>
      <c r="C241" s="94" t="s">
        <v>156</v>
      </c>
      <c r="D241" s="95">
        <v>13000</v>
      </c>
      <c r="E241" s="95"/>
      <c r="F241" s="97"/>
    </row>
    <row r="242" spans="1:6" ht="16.5" thickBot="1" x14ac:dyDescent="0.3">
      <c r="A242" s="97">
        <v>2</v>
      </c>
      <c r="B242" s="94" t="s">
        <v>140</v>
      </c>
      <c r="C242" s="204" t="s">
        <v>157</v>
      </c>
      <c r="D242" s="95"/>
      <c r="E242" s="95">
        <v>13000</v>
      </c>
      <c r="F242" s="97"/>
    </row>
    <row r="243" spans="1:6" ht="17.25" thickBot="1" x14ac:dyDescent="0.3">
      <c r="A243" s="97">
        <v>3</v>
      </c>
      <c r="B243" s="94"/>
      <c r="C243" s="205"/>
      <c r="D243" s="95"/>
      <c r="E243" s="95"/>
      <c r="F243" s="97"/>
    </row>
    <row r="244" spans="1:6" ht="16.5" thickBot="1" x14ac:dyDescent="0.3">
      <c r="A244" s="97">
        <v>4</v>
      </c>
      <c r="B244" s="94"/>
      <c r="C244" s="179"/>
      <c r="D244" s="95"/>
      <c r="E244" s="95"/>
      <c r="F244" s="97"/>
    </row>
    <row r="245" spans="1:6" ht="16.5" thickBot="1" x14ac:dyDescent="0.3">
      <c r="A245" s="97">
        <v>5</v>
      </c>
      <c r="B245" s="94"/>
      <c r="C245" s="179"/>
      <c r="D245" s="95"/>
      <c r="E245" s="95"/>
      <c r="F245" s="97"/>
    </row>
    <row r="246" spans="1:6" ht="16.5" thickBot="1" x14ac:dyDescent="0.3">
      <c r="A246" s="97">
        <v>6</v>
      </c>
      <c r="B246" s="94"/>
      <c r="C246" s="179"/>
      <c r="D246" s="95"/>
      <c r="E246" s="95"/>
      <c r="F246" s="97"/>
    </row>
    <row r="247" spans="1:6" ht="16.5" thickBot="1" x14ac:dyDescent="0.3">
      <c r="A247" s="97">
        <v>7</v>
      </c>
      <c r="B247" s="120"/>
      <c r="C247" s="179"/>
      <c r="D247" s="95"/>
      <c r="E247" s="95"/>
      <c r="F247" s="97"/>
    </row>
    <row r="248" spans="1:6" ht="16.5" thickBot="1" x14ac:dyDescent="0.3">
      <c r="A248" s="97">
        <v>8</v>
      </c>
      <c r="B248" s="94"/>
      <c r="C248" s="175"/>
      <c r="D248" s="97"/>
      <c r="E248" s="173"/>
      <c r="F248" s="97"/>
    </row>
    <row r="249" spans="1:6" ht="16.5" thickBot="1" x14ac:dyDescent="0.3">
      <c r="A249" s="97">
        <v>9</v>
      </c>
      <c r="B249" s="94"/>
      <c r="C249" s="174"/>
      <c r="D249" s="97"/>
      <c r="E249" s="173"/>
      <c r="F249" s="97"/>
    </row>
    <row r="250" spans="1:6" ht="16.5" thickBot="1" x14ac:dyDescent="0.3">
      <c r="A250" s="97">
        <v>10</v>
      </c>
      <c r="B250" s="94"/>
      <c r="C250" s="174"/>
      <c r="D250" s="97"/>
      <c r="E250" s="173"/>
      <c r="F250" s="97"/>
    </row>
    <row r="251" spans="1:6" ht="16.5" thickBot="1" x14ac:dyDescent="0.3">
      <c r="A251" s="97">
        <v>11</v>
      </c>
      <c r="B251" s="94"/>
      <c r="C251" s="174"/>
      <c r="D251" s="97"/>
      <c r="E251" s="173"/>
      <c r="F251" s="97"/>
    </row>
    <row r="252" spans="1:6" ht="16.5" thickBot="1" x14ac:dyDescent="0.3">
      <c r="A252" s="97">
        <v>12</v>
      </c>
      <c r="B252" s="94"/>
      <c r="C252" s="175"/>
      <c r="D252" s="97"/>
      <c r="E252" s="173"/>
      <c r="F252" s="97"/>
    </row>
    <row r="253" spans="1:6" ht="16.5" thickBot="1" x14ac:dyDescent="0.3">
      <c r="A253" s="97">
        <v>13</v>
      </c>
      <c r="B253" s="94"/>
      <c r="C253" s="175"/>
      <c r="D253" s="97"/>
      <c r="E253" s="173"/>
      <c r="F253" s="97"/>
    </row>
    <row r="254" spans="1:6" ht="16.5" thickBot="1" x14ac:dyDescent="0.3">
      <c r="A254" s="97">
        <v>14</v>
      </c>
      <c r="B254" s="94"/>
      <c r="C254" s="174"/>
      <c r="D254" s="97"/>
      <c r="E254" s="173"/>
      <c r="F254" s="97"/>
    </row>
    <row r="255" spans="1:6" ht="16.5" thickBot="1" x14ac:dyDescent="0.3">
      <c r="A255" s="97">
        <v>15</v>
      </c>
      <c r="B255" s="94"/>
      <c r="C255" s="174"/>
      <c r="D255" s="97"/>
      <c r="E255" s="173"/>
      <c r="F255" s="97"/>
    </row>
    <row r="256" spans="1:6" ht="16.5" thickBot="1" x14ac:dyDescent="0.3">
      <c r="A256" s="97">
        <v>16</v>
      </c>
      <c r="B256" s="94"/>
      <c r="C256" s="174"/>
      <c r="D256" s="97"/>
      <c r="E256" s="173"/>
      <c r="F256" s="97"/>
    </row>
    <row r="257" spans="1:8" ht="16.5" thickBot="1" x14ac:dyDescent="0.3">
      <c r="A257" s="97">
        <v>17</v>
      </c>
      <c r="B257" s="94"/>
      <c r="C257" s="174"/>
      <c r="D257" s="97"/>
      <c r="E257" s="173"/>
      <c r="F257" s="97"/>
    </row>
    <row r="258" spans="1:8" ht="16.5" thickBot="1" x14ac:dyDescent="0.3">
      <c r="A258" s="97">
        <v>18</v>
      </c>
      <c r="B258" s="94"/>
      <c r="C258" s="175"/>
      <c r="D258" s="97"/>
      <c r="E258" s="173"/>
      <c r="F258" s="97"/>
    </row>
    <row r="259" spans="1:8" ht="16.5" thickBot="1" x14ac:dyDescent="0.3">
      <c r="A259" s="97">
        <v>19</v>
      </c>
      <c r="B259" s="94"/>
      <c r="C259" s="175"/>
      <c r="D259" s="97"/>
      <c r="E259" s="173"/>
      <c r="F259" s="97"/>
    </row>
    <row r="260" spans="1:8" ht="16.5" thickBot="1" x14ac:dyDescent="0.3">
      <c r="A260" s="97">
        <v>20</v>
      </c>
      <c r="B260" s="94"/>
      <c r="C260" s="174"/>
      <c r="D260" s="97"/>
      <c r="E260" s="173"/>
      <c r="F260" s="97"/>
    </row>
    <row r="261" spans="1:8" ht="16.5" thickBot="1" x14ac:dyDescent="0.3">
      <c r="A261" s="93"/>
      <c r="B261" s="94"/>
      <c r="C261" s="94"/>
      <c r="D261" s="95"/>
      <c r="E261" s="95"/>
      <c r="F261" s="96"/>
    </row>
    <row r="262" spans="1:8" ht="16.5" thickBot="1" x14ac:dyDescent="0.3">
      <c r="A262" s="279"/>
      <c r="B262" s="279"/>
      <c r="C262" s="279"/>
      <c r="D262" s="108">
        <f>SUM(D241:D261)</f>
        <v>13000</v>
      </c>
      <c r="E262" s="108">
        <f>SUM(E241:E261)</f>
        <v>13000</v>
      </c>
      <c r="F262" s="109"/>
    </row>
    <row r="263" spans="1:8" ht="15.75" x14ac:dyDescent="0.25">
      <c r="A263" s="90"/>
      <c r="B263" s="110"/>
      <c r="C263" s="110"/>
      <c r="D263" s="111"/>
      <c r="E263" s="111"/>
      <c r="F263" s="112"/>
    </row>
    <row r="264" spans="1:8" ht="16.5" thickBot="1" x14ac:dyDescent="0.3">
      <c r="A264" s="90"/>
      <c r="B264" s="286" t="s">
        <v>161</v>
      </c>
      <c r="C264" s="282"/>
      <c r="D264" s="282"/>
      <c r="E264" s="90"/>
      <c r="F264" s="91"/>
      <c r="H264" s="164"/>
    </row>
    <row r="265" spans="1:8" ht="14.25" customHeight="1" thickBot="1" x14ac:dyDescent="0.3">
      <c r="A265" s="97" t="s">
        <v>1</v>
      </c>
      <c r="B265" s="92" t="s">
        <v>2</v>
      </c>
      <c r="C265" s="92" t="s">
        <v>3</v>
      </c>
      <c r="D265" s="97" t="s">
        <v>4</v>
      </c>
      <c r="E265" s="97" t="s">
        <v>5</v>
      </c>
      <c r="F265" s="97" t="s">
        <v>6</v>
      </c>
      <c r="H265" s="164"/>
    </row>
    <row r="266" spans="1:8" ht="16.5" thickBot="1" x14ac:dyDescent="0.3">
      <c r="A266" s="131">
        <v>1</v>
      </c>
      <c r="B266" s="94" t="s">
        <v>147</v>
      </c>
      <c r="C266" s="94" t="s">
        <v>112</v>
      </c>
      <c r="D266" s="95"/>
      <c r="E266" s="95">
        <v>10000</v>
      </c>
      <c r="F266" s="96"/>
      <c r="H266" s="164"/>
    </row>
    <row r="267" spans="1:8" ht="16.5" thickBot="1" x14ac:dyDescent="0.3">
      <c r="A267" s="133">
        <v>2</v>
      </c>
      <c r="B267" s="94" t="s">
        <v>147</v>
      </c>
      <c r="C267" s="94" t="s">
        <v>150</v>
      </c>
      <c r="D267" s="95"/>
      <c r="E267" s="95">
        <v>10000</v>
      </c>
      <c r="F267" s="96"/>
      <c r="H267" s="171"/>
    </row>
    <row r="268" spans="1:8" ht="16.5" thickBot="1" x14ac:dyDescent="0.3">
      <c r="A268" s="131">
        <v>3</v>
      </c>
      <c r="B268" s="120"/>
      <c r="C268" s="179"/>
      <c r="D268" s="95"/>
      <c r="E268" s="95"/>
      <c r="F268" s="96"/>
    </row>
    <row r="269" spans="1:8" ht="16.5" thickBot="1" x14ac:dyDescent="0.3">
      <c r="A269" s="133">
        <v>4</v>
      </c>
      <c r="B269" s="120"/>
      <c r="C269" s="179"/>
      <c r="D269" s="95"/>
      <c r="E269" s="95"/>
      <c r="F269" s="96"/>
    </row>
    <row r="270" spans="1:8" ht="16.5" thickBot="1" x14ac:dyDescent="0.3">
      <c r="A270" s="131">
        <v>5</v>
      </c>
      <c r="B270" s="120"/>
      <c r="C270" s="179"/>
      <c r="D270" s="95"/>
      <c r="E270" s="95"/>
      <c r="F270" s="96"/>
    </row>
    <row r="271" spans="1:8" ht="16.5" thickBot="1" x14ac:dyDescent="0.3">
      <c r="A271" s="131">
        <v>6</v>
      </c>
      <c r="B271" s="120"/>
      <c r="C271" s="179"/>
      <c r="D271" s="95"/>
      <c r="E271" s="95"/>
      <c r="F271" s="96"/>
    </row>
    <row r="272" spans="1:8" ht="16.5" thickBot="1" x14ac:dyDescent="0.3">
      <c r="A272" s="131"/>
      <c r="B272" s="94"/>
      <c r="C272" s="134"/>
      <c r="D272" s="132"/>
      <c r="E272" s="95"/>
      <c r="F272" s="96"/>
    </row>
    <row r="273" spans="1:6" ht="16.5" thickBot="1" x14ac:dyDescent="0.3">
      <c r="A273" s="131"/>
      <c r="B273" s="124"/>
      <c r="C273" s="134"/>
      <c r="D273" s="132"/>
      <c r="E273" s="95"/>
      <c r="F273" s="96"/>
    </row>
    <row r="274" spans="1:6" ht="16.5" thickBot="1" x14ac:dyDescent="0.3">
      <c r="A274" s="288"/>
      <c r="B274" s="289"/>
      <c r="C274" s="290"/>
      <c r="D274" s="108">
        <f>SUM(D266:D273)</f>
        <v>0</v>
      </c>
      <c r="E274" s="108">
        <f>SUM(E266:E273)</f>
        <v>20000</v>
      </c>
      <c r="F274" s="109"/>
    </row>
    <row r="275" spans="1:6" s="42" customFormat="1" ht="15.75" x14ac:dyDescent="0.25">
      <c r="A275" s="104"/>
      <c r="B275" s="292"/>
      <c r="C275" s="292"/>
      <c r="D275" s="292"/>
      <c r="E275" s="292"/>
      <c r="F275" s="292"/>
    </row>
    <row r="276" spans="1:6" s="42" customFormat="1" ht="16.5" thickBot="1" x14ac:dyDescent="0.3">
      <c r="A276" s="280" t="s">
        <v>162</v>
      </c>
      <c r="B276" s="287"/>
      <c r="C276" s="287"/>
      <c r="D276" s="287"/>
      <c r="E276" s="287"/>
      <c r="F276" s="287"/>
    </row>
    <row r="277" spans="1:6" s="42" customFormat="1" ht="16.5" thickBot="1" x14ac:dyDescent="0.3">
      <c r="A277" s="97" t="s">
        <v>1</v>
      </c>
      <c r="B277" s="92" t="s">
        <v>2</v>
      </c>
      <c r="C277" s="92" t="s">
        <v>3</v>
      </c>
      <c r="D277" s="97" t="s">
        <v>4</v>
      </c>
      <c r="E277" s="97" t="s">
        <v>5</v>
      </c>
      <c r="F277" s="97" t="s">
        <v>6</v>
      </c>
    </row>
    <row r="278" spans="1:6" s="42" customFormat="1" ht="16.5" thickBot="1" x14ac:dyDescent="0.3">
      <c r="A278" s="97">
        <v>1</v>
      </c>
      <c r="B278" s="94" t="s">
        <v>147</v>
      </c>
      <c r="C278" s="94" t="s">
        <v>156</v>
      </c>
      <c r="D278" s="95">
        <v>15000</v>
      </c>
      <c r="E278" s="95"/>
      <c r="F278" s="97"/>
    </row>
    <row r="279" spans="1:6" s="42" customFormat="1" ht="16.5" thickBot="1" x14ac:dyDescent="0.3">
      <c r="A279" s="97">
        <v>2</v>
      </c>
      <c r="B279" s="94" t="s">
        <v>147</v>
      </c>
      <c r="C279" s="204" t="s">
        <v>157</v>
      </c>
      <c r="D279" s="95"/>
      <c r="E279" s="95">
        <v>15000</v>
      </c>
      <c r="F279" s="97"/>
    </row>
    <row r="280" spans="1:6" s="42" customFormat="1" ht="17.25" thickBot="1" x14ac:dyDescent="0.3">
      <c r="A280" s="97">
        <v>3</v>
      </c>
      <c r="B280" s="94"/>
      <c r="C280" s="205"/>
      <c r="D280" s="95"/>
      <c r="E280" s="95"/>
      <c r="F280" s="97"/>
    </row>
    <row r="281" spans="1:6" s="42" customFormat="1" ht="16.5" thickBot="1" x14ac:dyDescent="0.3">
      <c r="A281" s="97">
        <v>4</v>
      </c>
      <c r="B281" s="94"/>
      <c r="C281" s="94"/>
      <c r="D281" s="95"/>
      <c r="E281" s="95"/>
      <c r="F281" s="97"/>
    </row>
    <row r="282" spans="1:6" s="42" customFormat="1" ht="16.5" thickBot="1" x14ac:dyDescent="0.3">
      <c r="A282" s="97">
        <v>5</v>
      </c>
      <c r="B282" s="94"/>
      <c r="C282" s="204"/>
      <c r="D282" s="95"/>
      <c r="E282" s="95"/>
      <c r="F282" s="97"/>
    </row>
    <row r="283" spans="1:6" s="42" customFormat="1" ht="17.25" thickBot="1" x14ac:dyDescent="0.3">
      <c r="A283" s="97">
        <v>6</v>
      </c>
      <c r="B283" s="94"/>
      <c r="C283" s="205"/>
      <c r="D283" s="95"/>
      <c r="E283" s="95"/>
      <c r="F283" s="97"/>
    </row>
    <row r="284" spans="1:6" s="42" customFormat="1" ht="16.5" thickBot="1" x14ac:dyDescent="0.3">
      <c r="A284" s="97">
        <v>7</v>
      </c>
      <c r="B284" s="94"/>
      <c r="C284" s="94"/>
      <c r="D284" s="95"/>
      <c r="E284" s="95"/>
      <c r="F284" s="97"/>
    </row>
    <row r="285" spans="1:6" s="42" customFormat="1" ht="16.5" thickBot="1" x14ac:dyDescent="0.3">
      <c r="A285" s="97">
        <v>8</v>
      </c>
      <c r="B285" s="94"/>
      <c r="C285" s="94"/>
      <c r="D285" s="95"/>
      <c r="E285" s="95"/>
      <c r="F285" s="97"/>
    </row>
    <row r="286" spans="1:6" s="42" customFormat="1" ht="16.5" thickBot="1" x14ac:dyDescent="0.3">
      <c r="A286" s="93">
        <v>9</v>
      </c>
      <c r="B286" s="94"/>
      <c r="C286" s="124"/>
      <c r="D286" s="132"/>
      <c r="E286" s="95"/>
      <c r="F286" s="96"/>
    </row>
    <row r="287" spans="1:6" s="42" customFormat="1" ht="16.5" thickBot="1" x14ac:dyDescent="0.3">
      <c r="A287" s="93">
        <v>10</v>
      </c>
      <c r="B287" s="94"/>
      <c r="C287" s="124"/>
      <c r="D287" s="132"/>
      <c r="E287" s="95"/>
      <c r="F287" s="96"/>
    </row>
    <row r="288" spans="1:6" s="42" customFormat="1" ht="16.5" thickBot="1" x14ac:dyDescent="0.3">
      <c r="A288" s="93">
        <v>11</v>
      </c>
      <c r="B288" s="94"/>
      <c r="C288" s="94"/>
      <c r="D288" s="95"/>
      <c r="E288" s="95"/>
      <c r="F288" s="96"/>
    </row>
    <row r="289" spans="1:9" s="42" customFormat="1" ht="16.5" thickBot="1" x14ac:dyDescent="0.3">
      <c r="A289" s="93">
        <v>12</v>
      </c>
      <c r="B289" s="94"/>
      <c r="C289" s="204"/>
      <c r="D289" s="95"/>
      <c r="E289" s="95"/>
      <c r="F289" s="96"/>
    </row>
    <row r="290" spans="1:9" s="42" customFormat="1" ht="17.25" thickBot="1" x14ac:dyDescent="0.3">
      <c r="A290" s="93">
        <v>13</v>
      </c>
      <c r="B290" s="94"/>
      <c r="C290" s="205"/>
      <c r="D290" s="95"/>
      <c r="E290" s="95"/>
      <c r="F290" s="96"/>
    </row>
    <row r="291" spans="1:9" s="42" customFormat="1" ht="16.5" thickBot="1" x14ac:dyDescent="0.3">
      <c r="A291" s="93">
        <v>14</v>
      </c>
      <c r="B291" s="94"/>
      <c r="C291" s="94"/>
      <c r="D291" s="95"/>
      <c r="E291" s="95"/>
      <c r="F291" s="96"/>
    </row>
    <row r="292" spans="1:9" s="42" customFormat="1" ht="16.5" thickBot="1" x14ac:dyDescent="0.3">
      <c r="A292" s="93">
        <v>15</v>
      </c>
      <c r="B292" s="94"/>
      <c r="C292" s="204"/>
      <c r="D292" s="95"/>
      <c r="E292" s="95"/>
      <c r="F292" s="96"/>
    </row>
    <row r="293" spans="1:9" s="42" customFormat="1" ht="17.25" thickBot="1" x14ac:dyDescent="0.3">
      <c r="A293" s="93">
        <v>16</v>
      </c>
      <c r="B293" s="94"/>
      <c r="C293" s="205"/>
      <c r="D293" s="95"/>
      <c r="E293" s="95"/>
      <c r="F293" s="96"/>
    </row>
    <row r="294" spans="1:9" s="42" customFormat="1" ht="16.5" thickBot="1" x14ac:dyDescent="0.3">
      <c r="A294" s="279"/>
      <c r="B294" s="279"/>
      <c r="C294" s="279"/>
      <c r="D294" s="108">
        <f>SUM(D278:D293)</f>
        <v>15000</v>
      </c>
      <c r="E294" s="108">
        <f>SUM(E278:E293)</f>
        <v>15000</v>
      </c>
      <c r="F294" s="109"/>
    </row>
    <row r="295" spans="1:9" s="42" customFormat="1" ht="15.75" x14ac:dyDescent="0.25">
      <c r="A295" s="104"/>
      <c r="B295" s="101"/>
      <c r="C295" s="161"/>
      <c r="D295" s="102"/>
      <c r="E295" s="102"/>
      <c r="F295" s="91"/>
    </row>
    <row r="296" spans="1:9" s="42" customFormat="1" ht="15.75" x14ac:dyDescent="0.25">
      <c r="A296" s="106"/>
      <c r="B296" s="106"/>
      <c r="C296" s="116"/>
      <c r="D296" s="106"/>
      <c r="E296" s="106"/>
      <c r="F296" s="106"/>
    </row>
    <row r="297" spans="1:9" s="42" customFormat="1" ht="15.75" x14ac:dyDescent="0.25">
      <c r="A297" s="280" t="s">
        <v>163</v>
      </c>
      <c r="B297" s="287"/>
      <c r="C297" s="287"/>
      <c r="D297" s="287"/>
      <c r="E297" s="287"/>
      <c r="F297" s="287"/>
    </row>
    <row r="298" spans="1:9" s="42" customFormat="1" ht="16.5" thickBot="1" x14ac:dyDescent="0.3">
      <c r="A298" s="90"/>
      <c r="B298" s="281"/>
      <c r="C298" s="282"/>
      <c r="D298" s="282"/>
      <c r="E298" s="90"/>
      <c r="F298" s="91"/>
    </row>
    <row r="299" spans="1:9" s="42" customFormat="1" ht="16.5" thickBot="1" x14ac:dyDescent="0.3">
      <c r="A299" s="97" t="s">
        <v>1</v>
      </c>
      <c r="B299" s="92" t="s">
        <v>2</v>
      </c>
      <c r="C299" s="92" t="s">
        <v>3</v>
      </c>
      <c r="D299" s="97" t="s">
        <v>4</v>
      </c>
      <c r="E299" s="97" t="s">
        <v>5</v>
      </c>
      <c r="F299" s="97" t="s">
        <v>6</v>
      </c>
    </row>
    <row r="300" spans="1:9" s="42" customFormat="1" ht="16.5" thickBot="1" x14ac:dyDescent="0.3">
      <c r="A300" s="97">
        <v>1</v>
      </c>
      <c r="B300" s="94" t="s">
        <v>166</v>
      </c>
      <c r="C300" s="94" t="s">
        <v>141</v>
      </c>
      <c r="D300" s="95">
        <v>832500</v>
      </c>
      <c r="E300" s="95"/>
      <c r="F300" s="97"/>
      <c r="I300" s="42">
        <f>205000</f>
        <v>205000</v>
      </c>
    </row>
    <row r="301" spans="1:9" s="42" customFormat="1" ht="16.5" thickBot="1" x14ac:dyDescent="0.3">
      <c r="A301" s="97">
        <v>2</v>
      </c>
      <c r="B301" s="94" t="s">
        <v>166</v>
      </c>
      <c r="C301" s="204" t="s">
        <v>164</v>
      </c>
      <c r="D301" s="95"/>
      <c r="E301" s="95">
        <v>30000</v>
      </c>
      <c r="F301" s="97"/>
    </row>
    <row r="302" spans="1:9" s="42" customFormat="1" ht="17.25" thickBot="1" x14ac:dyDescent="0.3">
      <c r="A302" s="97">
        <v>3</v>
      </c>
      <c r="B302" s="94" t="s">
        <v>166</v>
      </c>
      <c r="C302" s="205" t="s">
        <v>165</v>
      </c>
      <c r="D302" s="95"/>
      <c r="E302" s="95">
        <v>50000</v>
      </c>
      <c r="F302" s="97"/>
    </row>
    <row r="303" spans="1:9" s="42" customFormat="1" ht="16.5" thickBot="1" x14ac:dyDescent="0.3">
      <c r="A303" s="97">
        <v>4</v>
      </c>
      <c r="B303" s="120"/>
      <c r="C303" s="179"/>
      <c r="D303" s="95"/>
      <c r="E303" s="95"/>
      <c r="F303" s="97"/>
    </row>
    <row r="304" spans="1:9" s="42" customFormat="1" ht="16.5" thickBot="1" x14ac:dyDescent="0.3">
      <c r="A304" s="97">
        <v>5</v>
      </c>
      <c r="B304" s="120"/>
      <c r="C304" s="179"/>
      <c r="D304" s="95"/>
      <c r="E304" s="95"/>
      <c r="F304" s="97"/>
    </row>
    <row r="305" spans="1:6" s="42" customFormat="1" ht="16.5" thickBot="1" x14ac:dyDescent="0.3">
      <c r="A305" s="97">
        <v>6</v>
      </c>
      <c r="B305" s="120"/>
      <c r="C305" s="179"/>
      <c r="D305" s="95"/>
      <c r="E305" s="95"/>
      <c r="F305" s="97"/>
    </row>
    <row r="306" spans="1:6" s="42" customFormat="1" ht="16.5" thickBot="1" x14ac:dyDescent="0.3">
      <c r="A306" s="97">
        <v>7</v>
      </c>
      <c r="B306" s="120"/>
      <c r="C306" s="179"/>
      <c r="D306" s="95"/>
      <c r="E306" s="95"/>
      <c r="F306" s="97"/>
    </row>
    <row r="307" spans="1:6" s="42" customFormat="1" ht="16.5" thickBot="1" x14ac:dyDescent="0.3">
      <c r="A307" s="97">
        <v>8</v>
      </c>
      <c r="B307" s="94"/>
      <c r="C307" s="119"/>
      <c r="D307" s="95"/>
      <c r="E307" s="95"/>
      <c r="F307" s="97"/>
    </row>
    <row r="308" spans="1:6" s="42" customFormat="1" ht="16.5" thickBot="1" x14ac:dyDescent="0.3">
      <c r="A308" s="97">
        <v>9</v>
      </c>
      <c r="B308" s="94"/>
      <c r="C308" s="119"/>
      <c r="D308" s="95"/>
      <c r="E308" s="95"/>
      <c r="F308" s="97"/>
    </row>
    <row r="309" spans="1:6" s="42" customFormat="1" ht="16.5" thickBot="1" x14ac:dyDescent="0.3">
      <c r="A309" s="97">
        <v>10</v>
      </c>
      <c r="B309" s="94"/>
      <c r="C309" s="119"/>
      <c r="D309" s="95"/>
      <c r="E309" s="95"/>
      <c r="F309" s="97"/>
    </row>
    <row r="310" spans="1:6" s="42" customFormat="1" ht="16.5" thickBot="1" x14ac:dyDescent="0.3">
      <c r="A310" s="97">
        <v>11</v>
      </c>
      <c r="B310" s="94"/>
      <c r="C310" s="119"/>
      <c r="D310" s="95"/>
      <c r="E310" s="95"/>
      <c r="F310" s="97"/>
    </row>
    <row r="311" spans="1:6" s="42" customFormat="1" ht="16.5" thickBot="1" x14ac:dyDescent="0.3">
      <c r="A311" s="97"/>
      <c r="B311" s="94"/>
      <c r="C311" s="119"/>
      <c r="D311" s="95"/>
      <c r="E311" s="95"/>
      <c r="F311" s="97"/>
    </row>
    <row r="312" spans="1:6" s="42" customFormat="1" ht="16.5" thickBot="1" x14ac:dyDescent="0.3">
      <c r="A312" s="279"/>
      <c r="B312" s="279"/>
      <c r="C312" s="279"/>
      <c r="D312" s="108">
        <f>SUM(D300:D311)</f>
        <v>832500</v>
      </c>
      <c r="E312" s="108">
        <f>SUM(E300:E311)</f>
        <v>80000</v>
      </c>
      <c r="F312" s="109"/>
    </row>
    <row r="313" spans="1:6" s="42" customFormat="1" ht="15.75" x14ac:dyDescent="0.25">
      <c r="A313" s="100"/>
      <c r="B313" s="121"/>
      <c r="C313" s="121"/>
      <c r="D313" s="122"/>
      <c r="E313" s="122"/>
      <c r="F313" s="123"/>
    </row>
    <row r="314" spans="1:6" s="42" customFormat="1" ht="15.75" x14ac:dyDescent="0.25">
      <c r="A314" s="280" t="s">
        <v>168</v>
      </c>
      <c r="B314" s="287"/>
      <c r="C314" s="287"/>
      <c r="D314" s="287"/>
      <c r="E314" s="287"/>
      <c r="F314" s="287"/>
    </row>
    <row r="315" spans="1:6" s="42" customFormat="1" ht="16.5" thickBot="1" x14ac:dyDescent="0.3">
      <c r="A315" s="90"/>
      <c r="B315" s="281"/>
      <c r="C315" s="282"/>
      <c r="D315" s="282"/>
      <c r="E315" s="90"/>
      <c r="F315" s="91"/>
    </row>
    <row r="316" spans="1:6" s="42" customFormat="1" ht="16.5" thickBot="1" x14ac:dyDescent="0.3">
      <c r="A316" s="97" t="s">
        <v>1</v>
      </c>
      <c r="B316" s="92" t="s">
        <v>2</v>
      </c>
      <c r="C316" s="92" t="s">
        <v>3</v>
      </c>
      <c r="D316" s="97" t="s">
        <v>4</v>
      </c>
      <c r="E316" s="97" t="s">
        <v>5</v>
      </c>
      <c r="F316" s="97" t="s">
        <v>6</v>
      </c>
    </row>
    <row r="317" spans="1:6" s="42" customFormat="1" ht="32.25" thickBot="1" x14ac:dyDescent="0.3">
      <c r="A317" s="97">
        <v>1</v>
      </c>
      <c r="B317" s="94" t="s">
        <v>166</v>
      </c>
      <c r="C317" s="94" t="s">
        <v>169</v>
      </c>
      <c r="D317" s="95"/>
      <c r="E317" s="95">
        <v>10000</v>
      </c>
      <c r="F317" s="97"/>
    </row>
    <row r="318" spans="1:6" s="42" customFormat="1" ht="48" thickBot="1" x14ac:dyDescent="0.3">
      <c r="A318" s="97">
        <v>2</v>
      </c>
      <c r="B318" s="94" t="s">
        <v>166</v>
      </c>
      <c r="C318" s="94" t="s">
        <v>170</v>
      </c>
      <c r="D318" s="95"/>
      <c r="E318" s="95">
        <v>18000</v>
      </c>
      <c r="F318" s="97"/>
    </row>
    <row r="319" spans="1:6" s="42" customFormat="1" ht="32.25" thickBot="1" x14ac:dyDescent="0.3">
      <c r="A319" s="97">
        <v>3</v>
      </c>
      <c r="B319" s="94" t="s">
        <v>166</v>
      </c>
      <c r="C319" s="94" t="s">
        <v>171</v>
      </c>
      <c r="D319" s="95"/>
      <c r="E319" s="95">
        <v>10000</v>
      </c>
      <c r="F319" s="97"/>
    </row>
    <row r="320" spans="1:6" s="42" customFormat="1" ht="48" thickBot="1" x14ac:dyDescent="0.3">
      <c r="A320" s="97">
        <v>4</v>
      </c>
      <c r="B320" s="94" t="s">
        <v>166</v>
      </c>
      <c r="C320" s="94" t="s">
        <v>172</v>
      </c>
      <c r="D320" s="95"/>
      <c r="E320" s="95">
        <v>65000</v>
      </c>
      <c r="F320" s="97"/>
    </row>
    <row r="321" spans="1:6" s="42" customFormat="1" ht="32.25" thickBot="1" x14ac:dyDescent="0.3">
      <c r="A321" s="97">
        <v>5</v>
      </c>
      <c r="B321" s="94" t="s">
        <v>166</v>
      </c>
      <c r="C321" s="94" t="s">
        <v>173</v>
      </c>
      <c r="D321" s="95"/>
      <c r="E321" s="95">
        <v>10000</v>
      </c>
      <c r="F321" s="97"/>
    </row>
    <row r="322" spans="1:6" s="42" customFormat="1" ht="16.5" thickBot="1" x14ac:dyDescent="0.3">
      <c r="A322" s="97">
        <v>6</v>
      </c>
      <c r="B322" s="94"/>
      <c r="C322" s="94"/>
      <c r="D322" s="95"/>
      <c r="E322" s="95"/>
      <c r="F322" s="97"/>
    </row>
    <row r="323" spans="1:6" s="42" customFormat="1" ht="16.5" thickBot="1" x14ac:dyDescent="0.3">
      <c r="A323" s="97">
        <v>7</v>
      </c>
      <c r="B323" s="94"/>
      <c r="C323" s="94"/>
      <c r="D323" s="95"/>
      <c r="E323" s="95"/>
      <c r="F323" s="97"/>
    </row>
    <row r="324" spans="1:6" s="42" customFormat="1" ht="16.5" thickBot="1" x14ac:dyDescent="0.3">
      <c r="A324" s="97">
        <v>8</v>
      </c>
      <c r="B324" s="94"/>
      <c r="C324" s="94"/>
      <c r="D324" s="95"/>
      <c r="E324" s="95"/>
      <c r="F324" s="97"/>
    </row>
    <row r="325" spans="1:6" s="42" customFormat="1" ht="16.5" thickBot="1" x14ac:dyDescent="0.3">
      <c r="A325" s="97">
        <v>9</v>
      </c>
      <c r="B325" s="94"/>
      <c r="C325" s="94"/>
      <c r="D325" s="95"/>
      <c r="E325" s="95"/>
      <c r="F325" s="97"/>
    </row>
    <row r="326" spans="1:6" s="42" customFormat="1" ht="16.5" thickBot="1" x14ac:dyDescent="0.3">
      <c r="A326" s="97">
        <v>10</v>
      </c>
      <c r="B326" s="94"/>
      <c r="C326" s="94"/>
      <c r="D326" s="95"/>
      <c r="E326" s="95"/>
      <c r="F326" s="97"/>
    </row>
    <row r="327" spans="1:6" s="42" customFormat="1" ht="16.5" thickBot="1" x14ac:dyDescent="0.3">
      <c r="A327" s="97">
        <v>11</v>
      </c>
      <c r="B327" s="94"/>
      <c r="C327" s="94"/>
      <c r="D327" s="95"/>
      <c r="E327" s="95"/>
      <c r="F327" s="97"/>
    </row>
    <row r="328" spans="1:6" s="42" customFormat="1" ht="16.5" thickBot="1" x14ac:dyDescent="0.3">
      <c r="A328" s="97">
        <v>12</v>
      </c>
      <c r="B328" s="94"/>
      <c r="C328" s="94"/>
      <c r="D328" s="95"/>
      <c r="E328" s="95"/>
      <c r="F328" s="97"/>
    </row>
    <row r="329" spans="1:6" s="42" customFormat="1" ht="16.5" thickBot="1" x14ac:dyDescent="0.3">
      <c r="A329" s="97">
        <v>13</v>
      </c>
      <c r="B329" s="94"/>
      <c r="C329" s="94"/>
      <c r="D329" s="95"/>
      <c r="E329" s="95"/>
      <c r="F329" s="97"/>
    </row>
    <row r="330" spans="1:6" s="42" customFormat="1" ht="16.5" thickBot="1" x14ac:dyDescent="0.3">
      <c r="A330" s="97">
        <v>14</v>
      </c>
      <c r="B330" s="94"/>
      <c r="C330" s="94"/>
      <c r="D330" s="95"/>
      <c r="E330" s="95"/>
      <c r="F330" s="97"/>
    </row>
    <row r="331" spans="1:6" s="42" customFormat="1" ht="16.5" thickBot="1" x14ac:dyDescent="0.3">
      <c r="A331" s="97">
        <v>15</v>
      </c>
      <c r="B331" s="94"/>
      <c r="C331" s="94"/>
      <c r="D331" s="95"/>
      <c r="E331" s="95"/>
      <c r="F331" s="97"/>
    </row>
    <row r="332" spans="1:6" s="42" customFormat="1" ht="16.5" thickBot="1" x14ac:dyDescent="0.3">
      <c r="A332" s="97">
        <v>16</v>
      </c>
      <c r="B332" s="94"/>
      <c r="C332" s="94"/>
      <c r="D332" s="95"/>
      <c r="E332" s="95"/>
      <c r="F332" s="97"/>
    </row>
    <row r="333" spans="1:6" s="42" customFormat="1" ht="16.5" thickBot="1" x14ac:dyDescent="0.3">
      <c r="A333" s="97">
        <v>17</v>
      </c>
      <c r="B333" s="94"/>
      <c r="C333" s="94"/>
      <c r="D333" s="95"/>
      <c r="E333" s="95"/>
      <c r="F333" s="97"/>
    </row>
    <row r="334" spans="1:6" s="42" customFormat="1" ht="16.5" thickBot="1" x14ac:dyDescent="0.3">
      <c r="A334" s="97">
        <v>18</v>
      </c>
      <c r="B334" s="94"/>
      <c r="C334" s="94"/>
      <c r="D334" s="95"/>
      <c r="E334" s="95"/>
      <c r="F334" s="97"/>
    </row>
    <row r="335" spans="1:6" s="42" customFormat="1" ht="16.5" thickBot="1" x14ac:dyDescent="0.3">
      <c r="A335" s="97">
        <v>19</v>
      </c>
      <c r="B335" s="94"/>
      <c r="C335" s="124"/>
      <c r="D335" s="132"/>
      <c r="E335" s="95"/>
      <c r="F335" s="97"/>
    </row>
    <row r="336" spans="1:6" s="42" customFormat="1" ht="16.5" thickBot="1" x14ac:dyDescent="0.3">
      <c r="A336" s="97">
        <v>20</v>
      </c>
      <c r="B336" s="94"/>
      <c r="C336" s="124"/>
      <c r="D336" s="132"/>
      <c r="E336" s="95"/>
      <c r="F336" s="97"/>
    </row>
    <row r="337" spans="1:6" s="42" customFormat="1" ht="16.5" thickBot="1" x14ac:dyDescent="0.3">
      <c r="A337" s="97">
        <v>21</v>
      </c>
      <c r="B337" s="94"/>
      <c r="C337" s="124"/>
      <c r="D337" s="132"/>
      <c r="E337" s="95"/>
      <c r="F337" s="97"/>
    </row>
    <row r="338" spans="1:6" s="42" customFormat="1" ht="16.5" thickBot="1" x14ac:dyDescent="0.3">
      <c r="A338" s="97">
        <v>22</v>
      </c>
      <c r="B338" s="94"/>
      <c r="C338" s="124"/>
      <c r="D338" s="132"/>
      <c r="E338" s="95"/>
      <c r="F338" s="97"/>
    </row>
    <row r="339" spans="1:6" s="42" customFormat="1" ht="16.5" thickBot="1" x14ac:dyDescent="0.3">
      <c r="A339" s="97">
        <v>23</v>
      </c>
      <c r="B339" s="94"/>
      <c r="C339" s="124"/>
      <c r="D339" s="132"/>
      <c r="E339" s="95"/>
      <c r="F339" s="97"/>
    </row>
    <row r="340" spans="1:6" s="42" customFormat="1" ht="16.5" thickBot="1" x14ac:dyDescent="0.3">
      <c r="A340" s="97">
        <v>24</v>
      </c>
      <c r="B340" s="94"/>
      <c r="C340" s="124"/>
      <c r="D340" s="132"/>
      <c r="E340" s="95"/>
      <c r="F340" s="97"/>
    </row>
    <row r="341" spans="1:6" s="42" customFormat="1" ht="16.5" thickBot="1" x14ac:dyDescent="0.3">
      <c r="A341" s="97">
        <v>25</v>
      </c>
      <c r="B341" s="94"/>
      <c r="C341" s="124"/>
      <c r="D341" s="132"/>
      <c r="E341" s="95"/>
      <c r="F341" s="97"/>
    </row>
    <row r="342" spans="1:6" s="42" customFormat="1" ht="16.5" thickBot="1" x14ac:dyDescent="0.3">
      <c r="A342" s="97">
        <v>26</v>
      </c>
      <c r="B342" s="94"/>
      <c r="C342" s="124"/>
      <c r="D342" s="132"/>
      <c r="E342" s="95"/>
      <c r="F342" s="97"/>
    </row>
    <row r="343" spans="1:6" s="42" customFormat="1" ht="16.5" thickBot="1" x14ac:dyDescent="0.3">
      <c r="A343" s="97">
        <v>27</v>
      </c>
      <c r="B343" s="94"/>
      <c r="C343" s="124"/>
      <c r="D343" s="132"/>
      <c r="E343" s="95"/>
      <c r="F343" s="97"/>
    </row>
    <row r="344" spans="1:6" s="42" customFormat="1" ht="16.5" thickBot="1" x14ac:dyDescent="0.3">
      <c r="A344" s="97">
        <v>28</v>
      </c>
      <c r="B344" s="94"/>
      <c r="C344" s="124"/>
      <c r="D344" s="132"/>
      <c r="E344" s="95"/>
      <c r="F344" s="97"/>
    </row>
    <row r="345" spans="1:6" s="42" customFormat="1" ht="16.5" thickBot="1" x14ac:dyDescent="0.3">
      <c r="A345" s="97">
        <v>29</v>
      </c>
      <c r="B345" s="94"/>
      <c r="C345" s="124"/>
      <c r="D345" s="95"/>
      <c r="E345" s="95"/>
      <c r="F345" s="97"/>
    </row>
    <row r="346" spans="1:6" s="42" customFormat="1" ht="16.5" thickBot="1" x14ac:dyDescent="0.3">
      <c r="A346" s="97">
        <v>30</v>
      </c>
      <c r="B346" s="94"/>
      <c r="C346" s="124"/>
      <c r="D346" s="95"/>
      <c r="E346" s="95"/>
      <c r="F346" s="97"/>
    </row>
    <row r="347" spans="1:6" s="42" customFormat="1" ht="16.5" thickBot="1" x14ac:dyDescent="0.3">
      <c r="A347" s="97">
        <v>31</v>
      </c>
      <c r="B347" s="94"/>
      <c r="C347" s="124"/>
      <c r="D347" s="95"/>
      <c r="E347" s="95"/>
      <c r="F347" s="97"/>
    </row>
    <row r="348" spans="1:6" s="42" customFormat="1" ht="16.5" thickBot="1" x14ac:dyDescent="0.3">
      <c r="A348" s="97">
        <v>32</v>
      </c>
      <c r="B348" s="94"/>
      <c r="C348" s="124"/>
      <c r="D348" s="95"/>
      <c r="E348" s="95"/>
      <c r="F348" s="97"/>
    </row>
    <row r="349" spans="1:6" s="42" customFormat="1" ht="16.5" thickBot="1" x14ac:dyDescent="0.3">
      <c r="A349" s="97">
        <v>33</v>
      </c>
      <c r="B349" s="94"/>
      <c r="C349" s="124"/>
      <c r="D349" s="95"/>
      <c r="E349" s="95"/>
      <c r="F349" s="97"/>
    </row>
    <row r="350" spans="1:6" s="42" customFormat="1" ht="16.5" thickBot="1" x14ac:dyDescent="0.3">
      <c r="A350" s="97">
        <v>34</v>
      </c>
      <c r="B350" s="94"/>
      <c r="C350" s="124"/>
      <c r="D350" s="95"/>
      <c r="E350" s="95"/>
      <c r="F350" s="97"/>
    </row>
    <row r="351" spans="1:6" s="42" customFormat="1" ht="16.5" thickBot="1" x14ac:dyDescent="0.3">
      <c r="A351" s="97">
        <v>35</v>
      </c>
      <c r="B351" s="94"/>
      <c r="C351" s="124"/>
      <c r="D351" s="95"/>
      <c r="E351" s="95"/>
      <c r="F351" s="97"/>
    </row>
    <row r="352" spans="1:6" s="42" customFormat="1" ht="16.5" thickBot="1" x14ac:dyDescent="0.3">
      <c r="A352" s="97">
        <v>36</v>
      </c>
      <c r="B352" s="94"/>
      <c r="C352" s="124"/>
      <c r="D352" s="95"/>
      <c r="E352" s="95"/>
      <c r="F352" s="97"/>
    </row>
    <row r="353" spans="1:6" s="42" customFormat="1" ht="16.5" thickBot="1" x14ac:dyDescent="0.3">
      <c r="A353" s="97"/>
      <c r="B353" s="94"/>
      <c r="C353" s="94"/>
      <c r="D353" s="95"/>
      <c r="E353" s="95"/>
      <c r="F353" s="97"/>
    </row>
    <row r="354" spans="1:6" s="42" customFormat="1" ht="16.5" thickBot="1" x14ac:dyDescent="0.3">
      <c r="A354" s="97"/>
      <c r="B354" s="94"/>
      <c r="C354" s="94"/>
      <c r="D354" s="95"/>
      <c r="E354" s="95"/>
      <c r="F354" s="96"/>
    </row>
    <row r="355" spans="1:6" s="42" customFormat="1" ht="16.5" thickBot="1" x14ac:dyDescent="0.3">
      <c r="A355" s="279"/>
      <c r="B355" s="279"/>
      <c r="C355" s="279"/>
      <c r="D355" s="108">
        <f>SUM(D317:D354)</f>
        <v>0</v>
      </c>
      <c r="E355" s="108">
        <f>SUM(E317:E354)</f>
        <v>113000</v>
      </c>
      <c r="F355" s="109"/>
    </row>
    <row r="356" spans="1:6" s="42" customFormat="1" ht="15.75" x14ac:dyDescent="0.25">
      <c r="A356" s="104"/>
      <c r="B356" s="101"/>
      <c r="C356" s="101"/>
      <c r="D356" s="105"/>
      <c r="E356" s="106"/>
      <c r="F356" s="106"/>
    </row>
    <row r="357" spans="1:6" s="42" customFormat="1" ht="15.75" x14ac:dyDescent="0.25">
      <c r="A357" s="104"/>
      <c r="B357" s="101"/>
      <c r="C357" s="101"/>
      <c r="D357" s="105"/>
      <c r="E357" s="106"/>
      <c r="F357" s="106"/>
    </row>
    <row r="358" spans="1:6" s="42" customFormat="1" ht="15.75" x14ac:dyDescent="0.25">
      <c r="A358" s="104"/>
      <c r="B358" s="101"/>
      <c r="C358" s="101"/>
      <c r="D358" s="105"/>
      <c r="E358" s="106"/>
      <c r="F358" s="106"/>
    </row>
    <row r="359" spans="1:6" s="42" customFormat="1" ht="15.75" x14ac:dyDescent="0.25">
      <c r="A359" s="280" t="s">
        <v>137</v>
      </c>
      <c r="B359" s="280"/>
      <c r="C359" s="280"/>
      <c r="D359" s="280"/>
      <c r="E359" s="280"/>
      <c r="F359" s="280"/>
    </row>
    <row r="360" spans="1:6" s="42" customFormat="1" ht="16.5" thickBot="1" x14ac:dyDescent="0.3">
      <c r="A360" s="90"/>
      <c r="B360" s="281"/>
      <c r="C360" s="282"/>
      <c r="D360" s="282"/>
      <c r="E360" s="90"/>
      <c r="F360" s="91"/>
    </row>
    <row r="361" spans="1:6" s="42" customFormat="1" ht="16.5" thickBot="1" x14ac:dyDescent="0.3">
      <c r="A361" s="97" t="s">
        <v>1</v>
      </c>
      <c r="B361" s="92" t="s">
        <v>2</v>
      </c>
      <c r="C361" s="92" t="s">
        <v>3</v>
      </c>
      <c r="D361" s="97" t="s">
        <v>4</v>
      </c>
      <c r="E361" s="97" t="s">
        <v>5</v>
      </c>
      <c r="F361" s="97" t="s">
        <v>6</v>
      </c>
    </row>
    <row r="362" spans="1:6" s="42" customFormat="1" ht="16.5" thickBot="1" x14ac:dyDescent="0.3">
      <c r="A362" s="97">
        <v>1</v>
      </c>
      <c r="B362" s="120"/>
      <c r="C362" s="94"/>
      <c r="D362" s="95"/>
      <c r="E362" s="95"/>
      <c r="F362" s="97"/>
    </row>
    <row r="363" spans="1:6" s="42" customFormat="1" ht="16.5" thickBot="1" x14ac:dyDescent="0.3">
      <c r="A363" s="97">
        <v>2</v>
      </c>
      <c r="B363" s="120"/>
      <c r="C363" s="204"/>
      <c r="D363" s="95"/>
      <c r="E363" s="95"/>
      <c r="F363" s="97"/>
    </row>
    <row r="364" spans="1:6" s="42" customFormat="1" ht="17.25" thickBot="1" x14ac:dyDescent="0.3">
      <c r="A364" s="97">
        <v>3</v>
      </c>
      <c r="B364" s="120"/>
      <c r="C364" s="205"/>
      <c r="D364" s="95"/>
      <c r="E364" s="95"/>
      <c r="F364" s="97"/>
    </row>
    <row r="365" spans="1:6" s="42" customFormat="1" ht="16.5" thickBot="1" x14ac:dyDescent="0.3">
      <c r="A365" s="97">
        <v>4</v>
      </c>
      <c r="B365" s="120"/>
      <c r="C365" s="120"/>
      <c r="D365" s="137"/>
      <c r="E365" s="137"/>
      <c r="F365" s="97"/>
    </row>
    <row r="366" spans="1:6" s="42" customFormat="1" ht="16.5" thickBot="1" x14ac:dyDescent="0.3">
      <c r="A366" s="97">
        <v>5</v>
      </c>
      <c r="B366" s="94"/>
      <c r="C366" s="120"/>
      <c r="D366" s="137"/>
      <c r="E366" s="137"/>
      <c r="F366" s="97"/>
    </row>
    <row r="367" spans="1:6" s="42" customFormat="1" ht="16.5" thickBot="1" x14ac:dyDescent="0.3">
      <c r="A367" s="97">
        <v>6</v>
      </c>
      <c r="B367" s="94"/>
      <c r="C367" s="120"/>
      <c r="D367" s="137"/>
      <c r="E367" s="137"/>
      <c r="F367" s="97"/>
    </row>
    <row r="368" spans="1:6" s="42" customFormat="1" ht="16.5" thickBot="1" x14ac:dyDescent="0.3">
      <c r="A368" s="97">
        <v>7</v>
      </c>
      <c r="B368" s="94"/>
      <c r="C368" s="120"/>
      <c r="D368" s="137"/>
      <c r="E368" s="137"/>
      <c r="F368" s="97"/>
    </row>
    <row r="369" spans="1:6" s="42" customFormat="1" ht="16.5" thickBot="1" x14ac:dyDescent="0.3">
      <c r="A369" s="97">
        <v>8</v>
      </c>
      <c r="B369" s="94"/>
      <c r="C369" s="120"/>
      <c r="D369" s="137"/>
      <c r="E369" s="137"/>
      <c r="F369" s="97"/>
    </row>
    <row r="370" spans="1:6" s="42" customFormat="1" ht="16.5" thickBot="1" x14ac:dyDescent="0.3">
      <c r="A370" s="97">
        <v>9</v>
      </c>
      <c r="B370" s="94"/>
      <c r="C370" s="120"/>
      <c r="D370" s="137"/>
      <c r="E370" s="137"/>
      <c r="F370" s="97"/>
    </row>
    <row r="371" spans="1:6" s="42" customFormat="1" ht="16.5" thickBot="1" x14ac:dyDescent="0.3">
      <c r="A371" s="97">
        <v>10</v>
      </c>
      <c r="B371" s="94"/>
      <c r="C371" s="120"/>
      <c r="D371" s="137"/>
      <c r="E371" s="137"/>
      <c r="F371" s="97"/>
    </row>
    <row r="372" spans="1:6" s="42" customFormat="1" ht="16.5" thickBot="1" x14ac:dyDescent="0.3">
      <c r="A372" s="97">
        <v>11</v>
      </c>
      <c r="B372" s="124"/>
      <c r="C372" s="120"/>
      <c r="D372" s="137"/>
      <c r="E372" s="137"/>
      <c r="F372" s="97"/>
    </row>
    <row r="373" spans="1:6" s="42" customFormat="1" ht="16.5" thickBot="1" x14ac:dyDescent="0.3">
      <c r="A373" s="97"/>
      <c r="B373" s="124"/>
      <c r="C373" s="94"/>
      <c r="D373" s="137"/>
      <c r="E373" s="137"/>
      <c r="F373" s="96"/>
    </row>
    <row r="374" spans="1:6" s="42" customFormat="1" ht="16.5" thickBot="1" x14ac:dyDescent="0.3">
      <c r="A374" s="279"/>
      <c r="B374" s="279"/>
      <c r="C374" s="279"/>
      <c r="D374" s="108">
        <f>SUM(D362:D373)</f>
        <v>0</v>
      </c>
      <c r="E374" s="108">
        <f>SUM(E362:E373)</f>
        <v>0</v>
      </c>
      <c r="F374" s="109"/>
    </row>
    <row r="375" spans="1:6" s="42" customFormat="1" ht="15.75" x14ac:dyDescent="0.25">
      <c r="A375" s="90"/>
      <c r="B375" s="110"/>
      <c r="C375" s="110"/>
      <c r="D375" s="111"/>
      <c r="E375" s="111"/>
      <c r="F375" s="112"/>
    </row>
    <row r="376" spans="1:6" s="42" customFormat="1" ht="15.75" x14ac:dyDescent="0.25">
      <c r="A376" s="104"/>
      <c r="B376" s="283"/>
      <c r="C376" s="283"/>
      <c r="D376" s="284"/>
      <c r="E376" s="284"/>
      <c r="F376" s="284"/>
    </row>
    <row r="377" spans="1:6" s="42" customFormat="1" ht="15.75" x14ac:dyDescent="0.25">
      <c r="A377" s="104"/>
      <c r="B377" s="284"/>
      <c r="C377" s="284"/>
      <c r="D377" s="105"/>
      <c r="E377" s="106"/>
      <c r="F377" s="106"/>
    </row>
    <row r="378" spans="1:6" s="42" customFormat="1" ht="15.75" x14ac:dyDescent="0.25">
      <c r="A378" s="280"/>
      <c r="B378" s="280"/>
      <c r="C378" s="280"/>
      <c r="D378" s="280"/>
      <c r="E378" s="280"/>
      <c r="F378" s="280"/>
    </row>
    <row r="379" spans="1:6" s="42" customFormat="1" ht="16.5" thickBot="1" x14ac:dyDescent="0.3">
      <c r="A379" s="90"/>
      <c r="B379" s="281" t="s">
        <v>138</v>
      </c>
      <c r="C379" s="282"/>
      <c r="D379" s="282"/>
      <c r="E379" s="90"/>
      <c r="F379" s="91"/>
    </row>
    <row r="380" spans="1:6" s="42" customFormat="1" ht="16.5" thickBot="1" x14ac:dyDescent="0.3">
      <c r="A380" s="97" t="s">
        <v>1</v>
      </c>
      <c r="B380" s="92" t="s">
        <v>2</v>
      </c>
      <c r="C380" s="92" t="s">
        <v>3</v>
      </c>
      <c r="D380" s="97" t="s">
        <v>4</v>
      </c>
      <c r="E380" s="97" t="s">
        <v>5</v>
      </c>
      <c r="F380" s="97" t="s">
        <v>6</v>
      </c>
    </row>
    <row r="381" spans="1:6" s="42" customFormat="1" ht="16.5" thickBot="1" x14ac:dyDescent="0.3">
      <c r="A381" s="97">
        <v>1</v>
      </c>
      <c r="B381" s="120"/>
      <c r="C381" s="119"/>
      <c r="D381" s="95"/>
      <c r="E381" s="95"/>
      <c r="F381" s="97"/>
    </row>
    <row r="382" spans="1:6" s="42" customFormat="1" ht="16.5" thickBot="1" x14ac:dyDescent="0.3">
      <c r="A382" s="97">
        <v>2</v>
      </c>
      <c r="B382" s="120"/>
      <c r="C382" s="120"/>
      <c r="D382" s="95"/>
      <c r="E382" s="95"/>
      <c r="F382" s="97"/>
    </row>
    <row r="383" spans="1:6" s="42" customFormat="1" ht="16.5" thickBot="1" x14ac:dyDescent="0.3">
      <c r="A383" s="97">
        <v>3</v>
      </c>
      <c r="B383" s="94"/>
      <c r="C383" s="119"/>
      <c r="D383" s="95"/>
      <c r="E383" s="95"/>
      <c r="F383" s="97"/>
    </row>
    <row r="384" spans="1:6" s="42" customFormat="1" ht="16.5" thickBot="1" x14ac:dyDescent="0.3">
      <c r="A384" s="97">
        <v>4</v>
      </c>
      <c r="B384" s="124"/>
      <c r="C384" s="120"/>
      <c r="D384" s="137"/>
      <c r="E384" s="137"/>
      <c r="F384" s="97"/>
    </row>
    <row r="385" spans="1:6" s="42" customFormat="1" ht="16.5" thickBot="1" x14ac:dyDescent="0.3">
      <c r="A385" s="97">
        <v>5</v>
      </c>
      <c r="B385" s="124"/>
      <c r="C385" s="120"/>
      <c r="D385" s="137"/>
      <c r="E385" s="137"/>
      <c r="F385" s="97"/>
    </row>
    <row r="386" spans="1:6" s="42" customFormat="1" ht="16.5" thickBot="1" x14ac:dyDescent="0.3">
      <c r="A386" s="97"/>
      <c r="B386" s="124"/>
      <c r="C386" s="94"/>
      <c r="D386" s="137"/>
      <c r="E386" s="137"/>
      <c r="F386" s="96"/>
    </row>
    <row r="387" spans="1:6" ht="16.5" thickBot="1" x14ac:dyDescent="0.3">
      <c r="A387" s="279"/>
      <c r="B387" s="279"/>
      <c r="C387" s="279"/>
      <c r="D387" s="108">
        <f>SUM(D381:D386)</f>
        <v>0</v>
      </c>
      <c r="E387" s="108">
        <f>SUM(E381:E386)</f>
        <v>0</v>
      </c>
      <c r="F387" s="109"/>
    </row>
    <row r="388" spans="1:6" x14ac:dyDescent="0.25">
      <c r="A388" s="55"/>
      <c r="B388" s="76"/>
      <c r="C388" s="72"/>
      <c r="D388" s="77"/>
      <c r="E388" s="78"/>
      <c r="F388" s="78"/>
    </row>
    <row r="389" spans="1:6" ht="16.5" thickBot="1" x14ac:dyDescent="0.3">
      <c r="A389" s="285"/>
      <c r="B389" s="285"/>
      <c r="C389" s="285"/>
      <c r="D389" s="285"/>
      <c r="E389" s="285"/>
      <c r="F389" s="285"/>
    </row>
    <row r="390" spans="1:6" ht="16.5" thickBot="1" x14ac:dyDescent="0.3">
      <c r="A390" s="97" t="s">
        <v>1</v>
      </c>
      <c r="B390" s="92" t="s">
        <v>2</v>
      </c>
      <c r="C390" s="92" t="s">
        <v>3</v>
      </c>
      <c r="D390" s="97" t="s">
        <v>4</v>
      </c>
      <c r="E390" s="97" t="s">
        <v>5</v>
      </c>
      <c r="F390" s="97" t="s">
        <v>6</v>
      </c>
    </row>
    <row r="391" spans="1:6" ht="16.5" thickBot="1" x14ac:dyDescent="0.3">
      <c r="A391" s="97">
        <v>1</v>
      </c>
      <c r="B391" s="94"/>
      <c r="C391" s="119"/>
      <c r="D391" s="137"/>
      <c r="E391" s="137"/>
      <c r="F391" s="97"/>
    </row>
    <row r="392" spans="1:6" ht="16.5" thickBot="1" x14ac:dyDescent="0.3">
      <c r="A392" s="97">
        <v>2</v>
      </c>
      <c r="B392" s="94"/>
      <c r="C392" s="119"/>
      <c r="D392" s="137"/>
      <c r="E392" s="137"/>
      <c r="F392" s="97"/>
    </row>
    <row r="393" spans="1:6" ht="16.5" thickBot="1" x14ac:dyDescent="0.3">
      <c r="A393" s="97">
        <v>3</v>
      </c>
      <c r="B393" s="124"/>
      <c r="C393" s="120"/>
      <c r="D393" s="137"/>
      <c r="E393" s="137"/>
      <c r="F393" s="97"/>
    </row>
    <row r="394" spans="1:6" ht="16.5" thickBot="1" x14ac:dyDescent="0.3">
      <c r="A394" s="97">
        <v>4</v>
      </c>
      <c r="B394" s="124"/>
      <c r="C394" s="120"/>
      <c r="D394" s="137"/>
      <c r="E394" s="137"/>
      <c r="F394" s="97"/>
    </row>
    <row r="395" spans="1:6" ht="16.5" thickBot="1" x14ac:dyDescent="0.3">
      <c r="A395" s="97">
        <v>5</v>
      </c>
      <c r="B395" s="124"/>
      <c r="C395" s="120"/>
      <c r="D395" s="137"/>
      <c r="E395" s="137"/>
      <c r="F395" s="97"/>
    </row>
    <row r="396" spans="1:6" ht="16.5" thickBot="1" x14ac:dyDescent="0.3">
      <c r="A396" s="97"/>
      <c r="B396" s="124"/>
      <c r="C396" s="94"/>
      <c r="D396" s="137"/>
      <c r="E396" s="137"/>
      <c r="F396" s="96"/>
    </row>
    <row r="397" spans="1:6" ht="16.5" thickBot="1" x14ac:dyDescent="0.3">
      <c r="A397" s="279"/>
      <c r="B397" s="279"/>
      <c r="C397" s="279"/>
      <c r="D397" s="108">
        <f>SUM(D391:D396)</f>
        <v>0</v>
      </c>
      <c r="E397" s="108">
        <f>SUM(E391:E396)</f>
        <v>0</v>
      </c>
      <c r="F397" s="109"/>
    </row>
  </sheetData>
  <mergeCells count="52">
    <mergeCell ref="B28:C28"/>
    <mergeCell ref="B32:C32"/>
    <mergeCell ref="B33:C33"/>
    <mergeCell ref="A53:F53"/>
    <mergeCell ref="A114:C114"/>
    <mergeCell ref="D32:F32"/>
    <mergeCell ref="D33:F33"/>
    <mergeCell ref="A34:C34"/>
    <mergeCell ref="D34:E34"/>
    <mergeCell ref="A35:F35"/>
    <mergeCell ref="A36:F36"/>
    <mergeCell ref="A50:C50"/>
    <mergeCell ref="D52:F52"/>
    <mergeCell ref="B52:C52"/>
    <mergeCell ref="A1:F1"/>
    <mergeCell ref="A2:F2"/>
    <mergeCell ref="A5:B5"/>
    <mergeCell ref="A25:C25"/>
    <mergeCell ref="B27:C27"/>
    <mergeCell ref="D27:F27"/>
    <mergeCell ref="A359:F359"/>
    <mergeCell ref="B360:D360"/>
    <mergeCell ref="D275:F275"/>
    <mergeCell ref="A236:C236"/>
    <mergeCell ref="B298:D298"/>
    <mergeCell ref="A355:C355"/>
    <mergeCell ref="A312:C312"/>
    <mergeCell ref="A314:F314"/>
    <mergeCell ref="B315:D315"/>
    <mergeCell ref="A238:F238"/>
    <mergeCell ref="A262:C262"/>
    <mergeCell ref="B275:C275"/>
    <mergeCell ref="A294:C294"/>
    <mergeCell ref="A276:F276"/>
    <mergeCell ref="B116:D116"/>
    <mergeCell ref="A297:F297"/>
    <mergeCell ref="B239:D239"/>
    <mergeCell ref="B264:D264"/>
    <mergeCell ref="A274:C274"/>
    <mergeCell ref="A148:F148"/>
    <mergeCell ref="A162:C162"/>
    <mergeCell ref="A164:F164"/>
    <mergeCell ref="B165:D165"/>
    <mergeCell ref="A397:C397"/>
    <mergeCell ref="A378:F378"/>
    <mergeCell ref="B379:D379"/>
    <mergeCell ref="A387:C387"/>
    <mergeCell ref="A374:C374"/>
    <mergeCell ref="B376:C376"/>
    <mergeCell ref="D376:F376"/>
    <mergeCell ref="B377:C377"/>
    <mergeCell ref="A389:F389"/>
  </mergeCells>
  <pageMargins left="0.70866141732283472" right="0.70866141732283472" top="0.74803149606299213" bottom="0.74803149606299213" header="0.31496062992125984" footer="0.31496062992125984"/>
  <pageSetup paperSize="14" scale="89" orientation="portrait" r:id="rId1"/>
  <rowBreaks count="2" manualBreakCount="2">
    <brk id="273" max="16383" man="1"/>
    <brk id="274" max="16383" man="1"/>
  </rowBreaks>
  <colBreaks count="1" manualBreakCount="1">
    <brk id="6" max="348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6"/>
  <sheetViews>
    <sheetView tabSelected="1" topLeftCell="A6" zoomScale="115" zoomScaleNormal="115" workbookViewId="0">
      <selection activeCell="D13" sqref="D13"/>
    </sheetView>
  </sheetViews>
  <sheetFormatPr defaultRowHeight="15" x14ac:dyDescent="0.25"/>
  <cols>
    <col min="1" max="1" width="7" customWidth="1"/>
    <col min="2" max="2" width="41.28515625" customWidth="1"/>
    <col min="3" max="3" width="3.7109375" customWidth="1"/>
    <col min="4" max="4" width="15.42578125" customWidth="1"/>
    <col min="5" max="5" width="4.5703125" customWidth="1"/>
    <col min="6" max="6" width="16.28515625" customWidth="1"/>
    <col min="7" max="7" width="17.7109375" customWidth="1"/>
    <col min="8" max="8" width="20.85546875" customWidth="1"/>
    <col min="9" max="9" width="20.28515625" customWidth="1"/>
    <col min="10" max="10" width="18.28515625" customWidth="1"/>
    <col min="11" max="11" width="15.5703125" customWidth="1"/>
    <col min="12" max="12" width="17.7109375" customWidth="1"/>
    <col min="13" max="13" width="15.85546875" bestFit="1" customWidth="1"/>
    <col min="14" max="14" width="11.140625" customWidth="1"/>
    <col min="15" max="15" width="10.28515625" bestFit="1" customWidth="1"/>
  </cols>
  <sheetData>
    <row r="1" spans="1:14" ht="18.75" x14ac:dyDescent="0.3">
      <c r="A1" s="297" t="s">
        <v>133</v>
      </c>
      <c r="B1" s="297"/>
      <c r="C1" s="297"/>
      <c r="D1" s="297"/>
      <c r="E1" s="297"/>
      <c r="F1" s="297"/>
    </row>
    <row r="2" spans="1:14" ht="18.75" x14ac:dyDescent="0.3">
      <c r="A2" s="297" t="s">
        <v>69</v>
      </c>
      <c r="B2" s="297"/>
      <c r="C2" s="297"/>
      <c r="D2" s="297"/>
      <c r="E2" s="297"/>
      <c r="F2" s="297"/>
    </row>
    <row r="3" spans="1:14" ht="15.75" x14ac:dyDescent="0.25">
      <c r="A3" s="2"/>
      <c r="B3" s="2"/>
      <c r="C3" s="2"/>
      <c r="D3" s="2"/>
      <c r="E3" s="2"/>
      <c r="F3" s="2"/>
    </row>
    <row r="4" spans="1:14" ht="18.75" x14ac:dyDescent="0.25">
      <c r="A4" s="3"/>
      <c r="B4" s="298" t="s">
        <v>12</v>
      </c>
      <c r="C4" s="298"/>
      <c r="D4" s="298"/>
      <c r="E4" s="298"/>
      <c r="F4" s="298"/>
    </row>
    <row r="5" spans="1:14" ht="15.75" x14ac:dyDescent="0.25">
      <c r="A5" s="3"/>
      <c r="B5" s="4"/>
      <c r="C5" s="4"/>
      <c r="D5" s="5"/>
      <c r="E5" s="5"/>
      <c r="F5" s="5"/>
    </row>
    <row r="6" spans="1:14" ht="15.75" x14ac:dyDescent="0.25">
      <c r="A6" s="3"/>
      <c r="B6" s="300" t="s">
        <v>144</v>
      </c>
      <c r="C6" s="300"/>
      <c r="D6" s="300"/>
      <c r="E6" s="300"/>
      <c r="F6" s="300"/>
    </row>
    <row r="7" spans="1:14" x14ac:dyDescent="0.25">
      <c r="A7" s="6"/>
      <c r="B7" s="6"/>
      <c r="C7" s="6"/>
      <c r="D7" s="6"/>
      <c r="E7" s="6"/>
      <c r="F7" s="6"/>
      <c r="G7" s="44"/>
      <c r="H7" s="44"/>
      <c r="I7" s="44"/>
    </row>
    <row r="8" spans="1:14" ht="15.75" x14ac:dyDescent="0.25">
      <c r="A8" s="7" t="s">
        <v>1</v>
      </c>
      <c r="B8" s="301" t="s">
        <v>13</v>
      </c>
      <c r="C8" s="303" t="s">
        <v>14</v>
      </c>
      <c r="D8" s="304"/>
      <c r="E8" s="304"/>
      <c r="F8" s="305"/>
      <c r="G8" s="44"/>
      <c r="H8" s="44" t="s">
        <v>118</v>
      </c>
      <c r="I8" s="148">
        <f>D12</f>
        <v>175000</v>
      </c>
    </row>
    <row r="9" spans="1:14" ht="15.75" x14ac:dyDescent="0.25">
      <c r="A9" s="8" t="s">
        <v>15</v>
      </c>
      <c r="B9" s="302"/>
      <c r="C9" s="303" t="s">
        <v>4</v>
      </c>
      <c r="D9" s="305"/>
      <c r="E9" s="306" t="s">
        <v>5</v>
      </c>
      <c r="F9" s="307"/>
      <c r="G9" s="44"/>
      <c r="H9" s="44" t="s">
        <v>99</v>
      </c>
      <c r="I9" s="158">
        <v>100000</v>
      </c>
    </row>
    <row r="10" spans="1:14" ht="15.75" x14ac:dyDescent="0.25">
      <c r="A10" s="9">
        <v>1</v>
      </c>
      <c r="B10" s="10">
        <v>2</v>
      </c>
      <c r="C10" s="11"/>
      <c r="D10" s="12">
        <v>3</v>
      </c>
      <c r="E10" s="11"/>
      <c r="F10" s="12">
        <v>4</v>
      </c>
      <c r="G10" s="44"/>
      <c r="H10" s="44"/>
      <c r="I10" s="158">
        <v>100000</v>
      </c>
      <c r="L10" s="146"/>
      <c r="N10" s="169"/>
    </row>
    <row r="11" spans="1:14" ht="15.75" x14ac:dyDescent="0.25">
      <c r="A11" s="13"/>
      <c r="B11" s="14"/>
      <c r="C11" s="15"/>
      <c r="D11" s="16"/>
      <c r="E11" s="15"/>
      <c r="F11" s="16"/>
      <c r="G11" s="44"/>
      <c r="H11" s="44"/>
      <c r="I11" s="208">
        <v>18500</v>
      </c>
      <c r="J11" s="44"/>
      <c r="L11" s="146"/>
      <c r="N11" s="169"/>
    </row>
    <row r="12" spans="1:14" ht="18.75" x14ac:dyDescent="0.3">
      <c r="A12" s="17">
        <v>1</v>
      </c>
      <c r="B12" s="18" t="s">
        <v>16</v>
      </c>
      <c r="C12" s="19" t="s">
        <v>17</v>
      </c>
      <c r="D12" s="20">
        <f>MARET!C5</f>
        <v>175000</v>
      </c>
      <c r="E12" s="19" t="s">
        <v>17</v>
      </c>
      <c r="F12" s="20">
        <v>0</v>
      </c>
      <c r="G12" s="44"/>
      <c r="H12" s="44"/>
      <c r="I12" s="209">
        <v>13000</v>
      </c>
      <c r="J12" s="44"/>
      <c r="L12" s="146"/>
      <c r="M12" s="169"/>
      <c r="N12" s="169"/>
    </row>
    <row r="13" spans="1:14" ht="18.75" x14ac:dyDescent="0.3">
      <c r="A13" s="17">
        <v>2</v>
      </c>
      <c r="B13" s="18" t="s">
        <v>18</v>
      </c>
      <c r="C13" s="19" t="s">
        <v>17</v>
      </c>
      <c r="D13" s="22">
        <f>SUM(MARET!H27)</f>
        <v>1079000</v>
      </c>
      <c r="E13" s="19" t="s">
        <v>17</v>
      </c>
      <c r="F13" s="20">
        <v>0</v>
      </c>
      <c r="G13" s="44"/>
      <c r="H13" s="44"/>
      <c r="I13" s="147">
        <v>15000</v>
      </c>
      <c r="J13" s="44"/>
      <c r="K13" s="147"/>
      <c r="L13" s="146"/>
      <c r="M13" s="146"/>
      <c r="N13" s="169"/>
    </row>
    <row r="14" spans="1:14" ht="18.75" x14ac:dyDescent="0.3">
      <c r="A14" s="17">
        <v>3</v>
      </c>
      <c r="B14" s="18" t="s">
        <v>19</v>
      </c>
      <c r="C14" s="19"/>
      <c r="D14" s="20"/>
      <c r="E14" s="19" t="s">
        <v>17</v>
      </c>
      <c r="F14" s="20">
        <f>REKAP!A175</f>
        <v>83000</v>
      </c>
      <c r="G14" s="44"/>
      <c r="H14" s="44"/>
      <c r="I14" s="209">
        <v>832500</v>
      </c>
      <c r="J14" s="44"/>
      <c r="K14" s="147"/>
      <c r="L14" s="146"/>
      <c r="M14" s="169"/>
      <c r="N14" s="169"/>
    </row>
    <row r="15" spans="1:14" ht="18.75" x14ac:dyDescent="0.3">
      <c r="A15" s="17">
        <v>4</v>
      </c>
      <c r="B15" s="18" t="s">
        <v>20</v>
      </c>
      <c r="C15" s="19"/>
      <c r="D15" s="22"/>
      <c r="E15" s="19" t="s">
        <v>17</v>
      </c>
      <c r="F15" s="20">
        <v>0</v>
      </c>
      <c r="G15" s="44"/>
      <c r="H15" s="44"/>
      <c r="I15" s="210"/>
      <c r="J15" s="44"/>
      <c r="K15" s="147"/>
      <c r="L15" s="146"/>
      <c r="M15" s="169"/>
    </row>
    <row r="16" spans="1:14" ht="18.75" x14ac:dyDescent="0.3">
      <c r="A16" s="17">
        <v>5</v>
      </c>
      <c r="B16" s="18" t="s">
        <v>22</v>
      </c>
      <c r="C16" s="19"/>
      <c r="D16" s="22"/>
      <c r="E16" s="19" t="s">
        <v>17</v>
      </c>
      <c r="F16" s="20">
        <v>0</v>
      </c>
      <c r="G16" s="44"/>
      <c r="H16" s="44"/>
      <c r="I16" s="210"/>
      <c r="J16" s="44"/>
      <c r="K16" s="1"/>
      <c r="M16" s="169"/>
    </row>
    <row r="17" spans="1:15" ht="18.75" x14ac:dyDescent="0.3">
      <c r="A17" s="17">
        <v>6</v>
      </c>
      <c r="B17" s="18" t="s">
        <v>23</v>
      </c>
      <c r="C17" s="19"/>
      <c r="D17" s="22"/>
      <c r="E17" s="19" t="s">
        <v>17</v>
      </c>
      <c r="F17" s="20">
        <f>REKAP!K175</f>
        <v>0</v>
      </c>
      <c r="G17" s="44"/>
      <c r="H17" s="44"/>
      <c r="J17" s="44"/>
      <c r="K17" s="43" t="s">
        <v>100</v>
      </c>
      <c r="L17" s="1">
        <f>G26</f>
        <v>614500</v>
      </c>
      <c r="M17" s="169"/>
    </row>
    <row r="18" spans="1:15" ht="18.75" x14ac:dyDescent="0.3">
      <c r="A18" s="17">
        <v>7</v>
      </c>
      <c r="B18" s="18" t="s">
        <v>24</v>
      </c>
      <c r="C18" s="19"/>
      <c r="D18" s="22"/>
      <c r="E18" s="19" t="s">
        <v>17</v>
      </c>
      <c r="F18" s="20">
        <v>0</v>
      </c>
      <c r="G18" s="44"/>
      <c r="H18" s="44"/>
      <c r="I18" s="159"/>
      <c r="J18" s="44"/>
      <c r="L18" s="152">
        <f>L19-L17</f>
        <v>639500</v>
      </c>
      <c r="M18" s="169"/>
    </row>
    <row r="19" spans="1:15" ht="18.75" x14ac:dyDescent="0.3">
      <c r="A19" s="17">
        <v>8</v>
      </c>
      <c r="B19" s="18" t="s">
        <v>25</v>
      </c>
      <c r="C19" s="19"/>
      <c r="D19" s="21"/>
      <c r="E19" s="19" t="s">
        <v>17</v>
      </c>
      <c r="F19" s="20">
        <f>SUM(REKAP!B175)</f>
        <v>100000</v>
      </c>
      <c r="G19" s="44"/>
      <c r="H19" s="44"/>
      <c r="I19" s="159"/>
      <c r="J19" s="146"/>
      <c r="K19" s="146" t="s">
        <v>101</v>
      </c>
      <c r="L19" s="147">
        <f>I23</f>
        <v>1254000</v>
      </c>
      <c r="M19" s="169"/>
    </row>
    <row r="20" spans="1:15" ht="18.75" x14ac:dyDescent="0.3">
      <c r="A20" s="17">
        <v>9</v>
      </c>
      <c r="B20" s="18" t="s">
        <v>26</v>
      </c>
      <c r="C20" s="19"/>
      <c r="D20" s="21"/>
      <c r="E20" s="19" t="s">
        <v>17</v>
      </c>
      <c r="F20" s="20">
        <f>REKAP!G175</f>
        <v>0</v>
      </c>
      <c r="G20" s="44"/>
      <c r="H20" s="44"/>
      <c r="I20" s="159"/>
      <c r="J20" s="44"/>
      <c r="K20" s="147"/>
      <c r="M20" s="169"/>
    </row>
    <row r="21" spans="1:15" ht="18.75" x14ac:dyDescent="0.3">
      <c r="A21" s="17">
        <v>10</v>
      </c>
      <c r="B21" s="18" t="s">
        <v>27</v>
      </c>
      <c r="C21" s="19"/>
      <c r="D21" s="21"/>
      <c r="E21" s="19" t="s">
        <v>17</v>
      </c>
      <c r="F21" s="20">
        <f>REKAP!F175</f>
        <v>30000</v>
      </c>
      <c r="G21" s="44"/>
      <c r="H21" s="44"/>
      <c r="I21" s="159"/>
      <c r="J21" s="44"/>
      <c r="K21" s="147"/>
      <c r="M21" s="169"/>
    </row>
    <row r="22" spans="1:15" ht="18.75" x14ac:dyDescent="0.3">
      <c r="A22" s="17">
        <v>11</v>
      </c>
      <c r="B22" s="18" t="s">
        <v>28</v>
      </c>
      <c r="C22" s="19"/>
      <c r="D22" s="21"/>
      <c r="E22" s="19" t="s">
        <v>17</v>
      </c>
      <c r="F22" s="20">
        <f>REKAP!C176</f>
        <v>216500</v>
      </c>
      <c r="G22" s="44"/>
      <c r="H22" s="44" t="s">
        <v>102</v>
      </c>
      <c r="I22" s="160">
        <f>SUM(I9:I21)</f>
        <v>1079000</v>
      </c>
      <c r="J22" s="44"/>
      <c r="K22" s="147" t="s">
        <v>72</v>
      </c>
      <c r="L22" s="146">
        <f>I31</f>
        <v>201915000</v>
      </c>
      <c r="M22" s="169"/>
    </row>
    <row r="23" spans="1:15" ht="18.75" x14ac:dyDescent="0.3">
      <c r="A23" s="17">
        <v>12</v>
      </c>
      <c r="B23" s="18" t="s">
        <v>29</v>
      </c>
      <c r="C23" s="19"/>
      <c r="D23" s="21"/>
      <c r="E23" s="19" t="s">
        <v>17</v>
      </c>
      <c r="F23" s="20">
        <f>REKAP!J175</f>
        <v>35000</v>
      </c>
      <c r="G23" s="44"/>
      <c r="H23" s="44" t="s">
        <v>101</v>
      </c>
      <c r="I23" s="152">
        <f>SUM(I8,I22)</f>
        <v>1254000</v>
      </c>
      <c r="J23" s="44"/>
      <c r="K23" s="1" t="s">
        <v>136</v>
      </c>
      <c r="L23" s="146">
        <f>I28</f>
        <v>201915000</v>
      </c>
      <c r="M23" s="169"/>
    </row>
    <row r="24" spans="1:15" ht="18.75" x14ac:dyDescent="0.3">
      <c r="A24" s="17">
        <v>13</v>
      </c>
      <c r="B24" s="18" t="s">
        <v>32</v>
      </c>
      <c r="C24" s="19"/>
      <c r="D24" s="21"/>
      <c r="E24" s="19" t="s">
        <v>17</v>
      </c>
      <c r="F24" s="20">
        <f>REKAP!H175</f>
        <v>0</v>
      </c>
      <c r="G24" s="44"/>
      <c r="H24" s="44"/>
      <c r="I24" s="44"/>
      <c r="K24" s="147"/>
      <c r="L24" s="176">
        <f>L22-L23</f>
        <v>0</v>
      </c>
      <c r="M24" s="169" t="s">
        <v>131</v>
      </c>
      <c r="N24" s="170"/>
    </row>
    <row r="25" spans="1:15" ht="18.75" x14ac:dyDescent="0.3">
      <c r="A25" s="17">
        <v>14</v>
      </c>
      <c r="B25" s="18" t="s">
        <v>33</v>
      </c>
      <c r="C25" s="19"/>
      <c r="D25" s="21"/>
      <c r="E25" s="19" t="s">
        <v>17</v>
      </c>
      <c r="F25" s="20">
        <f>REKAP!I175</f>
        <v>150000</v>
      </c>
      <c r="G25" s="44"/>
      <c r="H25" s="44"/>
      <c r="I25" s="44"/>
      <c r="L25" s="146"/>
      <c r="M25" s="169"/>
    </row>
    <row r="26" spans="1:15" ht="18.75" x14ac:dyDescent="0.3">
      <c r="A26" s="17"/>
      <c r="B26" s="18"/>
      <c r="C26" s="19"/>
      <c r="D26" s="21"/>
      <c r="E26" s="19"/>
      <c r="F26" s="153"/>
      <c r="G26" s="45">
        <f>SUM(F14:F25)</f>
        <v>614500</v>
      </c>
      <c r="H26" s="44"/>
      <c r="I26" s="44"/>
      <c r="L26" s="146"/>
      <c r="M26" s="169"/>
      <c r="N26" s="146"/>
    </row>
    <row r="27" spans="1:15" ht="18.75" x14ac:dyDescent="0.3">
      <c r="A27" s="17">
        <v>15</v>
      </c>
      <c r="B27" s="18" t="s">
        <v>30</v>
      </c>
      <c r="C27" s="19"/>
      <c r="D27" s="21">
        <v>0</v>
      </c>
      <c r="E27" s="19" t="s">
        <v>17</v>
      </c>
      <c r="F27" s="23">
        <f>D31-G26</f>
        <v>639500</v>
      </c>
      <c r="G27" s="44"/>
      <c r="H27" s="44" t="s">
        <v>94</v>
      </c>
      <c r="I27" s="148">
        <f>F27</f>
        <v>639500</v>
      </c>
      <c r="J27" s="149"/>
      <c r="K27" s="150"/>
      <c r="L27" s="146"/>
      <c r="M27" s="185"/>
      <c r="N27" s="169"/>
    </row>
    <row r="28" spans="1:15" ht="15.75" x14ac:dyDescent="0.25">
      <c r="A28" s="24"/>
      <c r="B28" s="25"/>
      <c r="C28" s="26"/>
      <c r="D28" s="21"/>
      <c r="E28" s="19"/>
      <c r="F28" s="21"/>
      <c r="G28" s="44"/>
      <c r="H28" s="44" t="s">
        <v>95</v>
      </c>
      <c r="I28" s="148">
        <v>201915000</v>
      </c>
      <c r="J28" s="149" t="s">
        <v>121</v>
      </c>
      <c r="K28" s="150"/>
      <c r="L28" s="146"/>
      <c r="M28" s="169"/>
      <c r="N28" s="169"/>
    </row>
    <row r="29" spans="1:15" ht="15.75" x14ac:dyDescent="0.25">
      <c r="A29" s="27"/>
      <c r="B29" s="28"/>
      <c r="C29" s="26"/>
      <c r="D29" s="21"/>
      <c r="E29" s="19"/>
      <c r="F29" s="21"/>
      <c r="G29" s="44"/>
      <c r="H29" s="44"/>
      <c r="I29" s="148" t="s">
        <v>98</v>
      </c>
      <c r="J29" s="149">
        <f>SUM(I27:I28)</f>
        <v>202554500</v>
      </c>
      <c r="K29" s="150"/>
      <c r="L29" s="197"/>
      <c r="M29" s="198"/>
      <c r="N29" s="198"/>
    </row>
    <row r="30" spans="1:15" ht="15.75" x14ac:dyDescent="0.25">
      <c r="A30" s="14"/>
      <c r="B30" s="74"/>
      <c r="C30" s="29"/>
      <c r="D30" s="30"/>
      <c r="E30" s="31"/>
      <c r="F30" s="30"/>
      <c r="G30" s="44"/>
      <c r="H30" s="44" t="s">
        <v>96</v>
      </c>
      <c r="I30" s="148">
        <f>J29-I31</f>
        <v>639500</v>
      </c>
      <c r="J30" s="149"/>
      <c r="K30" s="150"/>
      <c r="L30" s="147"/>
      <c r="M30" s="199"/>
      <c r="N30" s="198"/>
      <c r="O30" s="186"/>
    </row>
    <row r="31" spans="1:15" ht="15.75" x14ac:dyDescent="0.25">
      <c r="A31" s="32"/>
      <c r="B31" s="25" t="s">
        <v>9</v>
      </c>
      <c r="C31" s="19" t="s">
        <v>17</v>
      </c>
      <c r="D31" s="21">
        <f>SUM(D12:D30)</f>
        <v>1254000</v>
      </c>
      <c r="E31" s="19" t="s">
        <v>17</v>
      </c>
      <c r="F31" s="21">
        <f>SUM(F14:F30)</f>
        <v>1254000</v>
      </c>
      <c r="G31" s="202"/>
      <c r="H31" s="44" t="s">
        <v>97</v>
      </c>
      <c r="I31" s="148">
        <f>201915000+100000-100000</f>
        <v>201915000</v>
      </c>
      <c r="J31" s="149"/>
      <c r="K31" s="150"/>
      <c r="L31" s="147"/>
      <c r="M31" s="200"/>
    </row>
    <row r="32" spans="1:15" ht="15.75" x14ac:dyDescent="0.25">
      <c r="A32" s="33"/>
      <c r="B32" s="28"/>
      <c r="C32" s="34"/>
      <c r="D32" s="35"/>
      <c r="E32" s="36"/>
      <c r="F32" s="37"/>
      <c r="G32" s="44"/>
      <c r="H32" s="44"/>
      <c r="I32" s="195" t="s">
        <v>121</v>
      </c>
      <c r="J32" s="149">
        <f>SUM(I30:I31)</f>
        <v>202554500</v>
      </c>
      <c r="K32" s="150"/>
      <c r="L32" s="147"/>
      <c r="M32" s="201"/>
    </row>
    <row r="33" spans="1:13" x14ac:dyDescent="0.25">
      <c r="A33" s="38"/>
      <c r="B33" s="39"/>
      <c r="C33" s="39"/>
      <c r="D33" s="39"/>
      <c r="E33" s="39"/>
      <c r="F33" s="39"/>
      <c r="I33" s="149"/>
      <c r="J33" s="149"/>
      <c r="K33" s="150"/>
      <c r="L33" s="1"/>
      <c r="M33" s="198"/>
    </row>
    <row r="34" spans="1:13" x14ac:dyDescent="0.25">
      <c r="A34" s="38"/>
      <c r="B34" s="38"/>
      <c r="C34" s="38"/>
      <c r="D34" s="38"/>
      <c r="E34" s="38"/>
      <c r="F34" s="38"/>
      <c r="H34" s="146"/>
      <c r="I34" s="146"/>
      <c r="J34" s="149"/>
      <c r="K34" s="150"/>
      <c r="L34" s="147"/>
      <c r="M34" s="169"/>
    </row>
    <row r="35" spans="1:13" ht="15.75" x14ac:dyDescent="0.25">
      <c r="B35" s="5" t="s">
        <v>31</v>
      </c>
      <c r="C35" s="299" t="s">
        <v>145</v>
      </c>
      <c r="D35" s="299"/>
      <c r="E35" s="299"/>
      <c r="F35" s="299"/>
      <c r="H35" s="146"/>
      <c r="I35" s="196"/>
      <c r="J35" s="149"/>
      <c r="K35" s="150"/>
      <c r="L35" s="146"/>
      <c r="M35" s="169"/>
    </row>
    <row r="36" spans="1:13" ht="15.75" x14ac:dyDescent="0.25">
      <c r="A36" s="5"/>
      <c r="B36" s="5" t="s">
        <v>139</v>
      </c>
      <c r="C36" s="300" t="s">
        <v>11</v>
      </c>
      <c r="D36" s="300"/>
      <c r="E36" s="300"/>
      <c r="F36" s="300"/>
      <c r="H36" s="146"/>
      <c r="I36" s="149"/>
      <c r="J36" s="152"/>
      <c r="K36" s="152"/>
      <c r="L36" s="146"/>
      <c r="M36" s="169"/>
    </row>
    <row r="37" spans="1:13" ht="15.75" x14ac:dyDescent="0.25">
      <c r="A37" s="5"/>
      <c r="B37" s="5"/>
      <c r="C37" s="300"/>
      <c r="D37" s="300"/>
      <c r="E37" s="300"/>
      <c r="F37" s="300"/>
      <c r="H37" s="146"/>
      <c r="I37" s="149"/>
      <c r="J37" s="152"/>
      <c r="K37" s="151"/>
      <c r="L37" s="146"/>
      <c r="M37" s="169"/>
    </row>
    <row r="38" spans="1:13" ht="15.75" x14ac:dyDescent="0.25">
      <c r="A38" s="40"/>
      <c r="B38" s="40"/>
      <c r="C38" s="308"/>
      <c r="D38" s="308"/>
      <c r="E38" s="308"/>
      <c r="F38" s="308"/>
      <c r="H38" s="146" t="s">
        <v>121</v>
      </c>
      <c r="I38" s="149"/>
      <c r="J38" s="150"/>
      <c r="K38" s="150"/>
      <c r="L38" s="146"/>
      <c r="M38" s="169"/>
    </row>
    <row r="39" spans="1:13" ht="15.75" x14ac:dyDescent="0.25">
      <c r="A39" s="40"/>
      <c r="B39" s="40"/>
      <c r="C39" s="308"/>
      <c r="D39" s="308"/>
      <c r="E39" s="308"/>
      <c r="F39" s="308"/>
      <c r="I39" s="149"/>
      <c r="J39" s="152"/>
      <c r="K39" s="150"/>
      <c r="M39" s="169"/>
    </row>
    <row r="40" spans="1:13" ht="15.75" x14ac:dyDescent="0.25">
      <c r="A40" s="40"/>
      <c r="B40" s="40"/>
      <c r="C40" s="308"/>
      <c r="D40" s="308"/>
      <c r="E40" s="308"/>
      <c r="F40" s="308"/>
      <c r="I40" s="149"/>
      <c r="J40" s="150"/>
      <c r="K40" s="152"/>
      <c r="M40" s="169"/>
    </row>
    <row r="41" spans="1:13" ht="15.75" x14ac:dyDescent="0.25">
      <c r="A41" s="58"/>
      <c r="B41" s="58" t="s">
        <v>132</v>
      </c>
      <c r="C41" s="309" t="s">
        <v>120</v>
      </c>
      <c r="D41" s="309"/>
      <c r="E41" s="309"/>
      <c r="F41" s="309"/>
      <c r="I41" s="149"/>
      <c r="J41" s="150"/>
      <c r="K41" s="150"/>
      <c r="M41" s="169"/>
    </row>
    <row r="42" spans="1:13" ht="15.75" x14ac:dyDescent="0.25">
      <c r="A42" s="5"/>
      <c r="B42" s="5"/>
      <c r="C42" s="5"/>
      <c r="D42" s="5"/>
      <c r="E42" s="5"/>
      <c r="F42" s="5"/>
      <c r="I42" s="149"/>
      <c r="J42" s="150"/>
      <c r="K42" s="150"/>
      <c r="M42" s="169"/>
    </row>
    <row r="43" spans="1:13" x14ac:dyDescent="0.25">
      <c r="I43" s="162"/>
      <c r="J43" s="163"/>
      <c r="M43" s="169"/>
    </row>
    <row r="44" spans="1:13" x14ac:dyDescent="0.25">
      <c r="M44" s="169"/>
    </row>
    <row r="45" spans="1:13" x14ac:dyDescent="0.25">
      <c r="M45" s="169"/>
    </row>
    <row r="46" spans="1:13" x14ac:dyDescent="0.25">
      <c r="M46" s="169"/>
    </row>
  </sheetData>
  <mergeCells count="15">
    <mergeCell ref="C37:F37"/>
    <mergeCell ref="C38:F38"/>
    <mergeCell ref="C39:F39"/>
    <mergeCell ref="C40:F40"/>
    <mergeCell ref="C41:F41"/>
    <mergeCell ref="A1:F1"/>
    <mergeCell ref="A2:F2"/>
    <mergeCell ref="B4:F4"/>
    <mergeCell ref="C35:F35"/>
    <mergeCell ref="C36:F36"/>
    <mergeCell ref="B6:F6"/>
    <mergeCell ref="B8:B9"/>
    <mergeCell ref="C8:F8"/>
    <mergeCell ref="C9:D9"/>
    <mergeCell ref="E9:F9"/>
  </mergeCells>
  <pageMargins left="0.70866141732283472" right="0.70866141732283472" top="0.74803149606299213" bottom="0.74803149606299213" header="0.31496062992125984" footer="0.31496062992125984"/>
  <pageSetup paperSize="9" scale="9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299"/>
  <sheetViews>
    <sheetView view="pageBreakPreview" topLeftCell="A2" zoomScale="85" zoomScaleNormal="85" zoomScaleSheetLayoutView="85" workbookViewId="0">
      <pane xSplit="11" ySplit="16" topLeftCell="L39" activePane="bottomRight" state="frozen"/>
      <selection activeCell="A2" sqref="A2"/>
      <selection pane="topRight" activeCell="L2" sqref="L2"/>
      <selection pane="bottomLeft" activeCell="A18" sqref="A18"/>
      <selection pane="bottomRight" activeCell="E35" sqref="E35"/>
    </sheetView>
  </sheetViews>
  <sheetFormatPr defaultRowHeight="15" x14ac:dyDescent="0.25"/>
  <cols>
    <col min="1" max="1" width="15.42578125" style="1" customWidth="1"/>
    <col min="2" max="2" width="17.28515625" style="1" bestFit="1" customWidth="1"/>
    <col min="3" max="4" width="14.140625" style="1" customWidth="1"/>
    <col min="5" max="7" width="13.28515625" style="1" customWidth="1"/>
    <col min="8" max="8" width="16.85546875" style="1" customWidth="1"/>
    <col min="9" max="10" width="15.28515625" style="1" customWidth="1"/>
    <col min="11" max="11" width="16.28515625" style="1" customWidth="1"/>
    <col min="12" max="12" width="14.140625" style="1" bestFit="1" customWidth="1"/>
    <col min="13" max="13" width="20.5703125" style="1" customWidth="1"/>
    <col min="14" max="14" width="16.7109375" style="1" customWidth="1"/>
    <col min="15" max="15" width="15.7109375" style="1" customWidth="1"/>
    <col min="16" max="16" width="15" style="1" customWidth="1"/>
    <col min="17" max="17" width="14" style="1" bestFit="1" customWidth="1"/>
    <col min="18" max="18" width="16.28515625" style="1" customWidth="1"/>
    <col min="19" max="19" width="20.7109375" style="1" customWidth="1"/>
    <col min="20" max="20" width="10.28515625" style="1" bestFit="1" customWidth="1"/>
    <col min="21" max="21" width="15.140625" style="1" bestFit="1" customWidth="1"/>
    <col min="22" max="23" width="9.140625" style="1"/>
  </cols>
  <sheetData>
    <row r="1" spans="1:23" x14ac:dyDescent="0.25">
      <c r="A1" s="310"/>
      <c r="B1" s="310"/>
      <c r="C1" s="310"/>
      <c r="D1" s="310"/>
      <c r="E1" s="310"/>
      <c r="F1" s="310"/>
      <c r="G1" s="310"/>
      <c r="H1" s="310"/>
      <c r="I1" s="310"/>
      <c r="J1" s="310"/>
      <c r="K1" s="311"/>
    </row>
    <row r="2" spans="1:23" s="81" customFormat="1" x14ac:dyDescent="0.25">
      <c r="A2" s="314" t="s">
        <v>76</v>
      </c>
      <c r="B2" s="316" t="s">
        <v>77</v>
      </c>
      <c r="C2" s="318" t="s">
        <v>79</v>
      </c>
      <c r="D2" s="312"/>
      <c r="E2" s="312"/>
      <c r="F2" s="314" t="s">
        <v>38</v>
      </c>
      <c r="G2" s="314" t="s">
        <v>80</v>
      </c>
      <c r="H2" s="314" t="s">
        <v>81</v>
      </c>
      <c r="I2" s="314" t="s">
        <v>35</v>
      </c>
      <c r="J2" s="314" t="s">
        <v>82</v>
      </c>
      <c r="K2" s="314" t="s">
        <v>83</v>
      </c>
      <c r="L2" s="314" t="s">
        <v>84</v>
      </c>
      <c r="M2" s="312" t="s">
        <v>42</v>
      </c>
      <c r="N2" s="312"/>
      <c r="O2" s="312"/>
      <c r="P2" s="312"/>
      <c r="Q2" s="312" t="s">
        <v>61</v>
      </c>
      <c r="R2" s="312"/>
      <c r="S2" s="80"/>
      <c r="T2" s="80"/>
      <c r="U2" s="80"/>
      <c r="V2" s="80"/>
      <c r="W2" s="80"/>
    </row>
    <row r="3" spans="1:23" s="88" customFormat="1" ht="105" x14ac:dyDescent="0.25">
      <c r="A3" s="315"/>
      <c r="B3" s="317"/>
      <c r="C3" s="82" t="s">
        <v>78</v>
      </c>
      <c r="D3" s="83" t="s">
        <v>41</v>
      </c>
      <c r="E3" s="83" t="s">
        <v>86</v>
      </c>
      <c r="F3" s="315"/>
      <c r="G3" s="315"/>
      <c r="H3" s="315"/>
      <c r="I3" s="315"/>
      <c r="J3" s="315"/>
      <c r="K3" s="315"/>
      <c r="L3" s="319"/>
      <c r="M3" s="84" t="s">
        <v>85</v>
      </c>
      <c r="N3" s="85" t="s">
        <v>39</v>
      </c>
      <c r="O3" s="82" t="s">
        <v>40</v>
      </c>
      <c r="P3" s="82" t="s">
        <v>47</v>
      </c>
      <c r="Q3" s="83" t="s">
        <v>42</v>
      </c>
      <c r="R3" s="83" t="s">
        <v>43</v>
      </c>
      <c r="S3" s="86"/>
      <c r="T3" s="87"/>
      <c r="U3" s="87"/>
      <c r="V3" s="87"/>
      <c r="W3" s="87"/>
    </row>
    <row r="4" spans="1:23" s="54" customFormat="1" x14ac:dyDescent="0.25">
      <c r="A4" s="187"/>
      <c r="B4" s="138"/>
      <c r="C4" s="139"/>
      <c r="D4" s="139"/>
      <c r="E4" s="139"/>
      <c r="F4" s="139"/>
      <c r="G4" s="139"/>
      <c r="H4" s="139"/>
      <c r="I4" s="139"/>
      <c r="J4" s="139"/>
      <c r="K4" s="139"/>
      <c r="L4" s="140">
        <f t="shared" ref="L4" si="0">SUM(A4:K4)</f>
        <v>0</v>
      </c>
      <c r="M4" s="141"/>
      <c r="N4" s="142"/>
      <c r="O4" s="142"/>
      <c r="P4" s="139"/>
      <c r="Q4" s="139"/>
      <c r="R4" s="141"/>
      <c r="S4" s="143"/>
      <c r="T4" s="145"/>
      <c r="U4" s="53"/>
      <c r="V4" s="53"/>
      <c r="W4" s="53"/>
    </row>
    <row r="5" spans="1:23" x14ac:dyDescent="0.25">
      <c r="A5" s="234"/>
      <c r="B5" s="234"/>
      <c r="C5" s="219"/>
      <c r="D5" s="218"/>
      <c r="E5" s="218"/>
      <c r="F5" s="218"/>
      <c r="G5" s="218"/>
      <c r="H5" s="218"/>
      <c r="I5" s="218"/>
      <c r="J5" s="218"/>
      <c r="K5" s="218"/>
      <c r="L5" s="220"/>
      <c r="M5" s="219">
        <v>100000</v>
      </c>
      <c r="N5" s="234"/>
      <c r="O5" s="234"/>
      <c r="P5" s="234"/>
      <c r="Q5" s="234"/>
      <c r="R5" s="234"/>
      <c r="S5" s="143" t="s">
        <v>148</v>
      </c>
      <c r="T5" s="145" t="s">
        <v>140</v>
      </c>
    </row>
    <row r="6" spans="1:23" x14ac:dyDescent="0.25">
      <c r="A6" s="234"/>
      <c r="B6" s="218"/>
      <c r="C6" s="219">
        <v>30000</v>
      </c>
      <c r="D6" s="218"/>
      <c r="E6" s="219"/>
      <c r="F6" s="219"/>
      <c r="G6" s="219"/>
      <c r="H6" s="219"/>
      <c r="I6" s="219"/>
      <c r="J6" s="219"/>
      <c r="K6" s="219"/>
      <c r="L6" s="220"/>
      <c r="M6" s="219"/>
      <c r="N6" s="218"/>
      <c r="O6" s="218"/>
      <c r="P6" s="218"/>
      <c r="Q6" s="218"/>
      <c r="R6" s="218"/>
      <c r="S6" s="143" t="s">
        <v>148</v>
      </c>
      <c r="T6" s="145" t="s">
        <v>140</v>
      </c>
    </row>
    <row r="7" spans="1:23" x14ac:dyDescent="0.25">
      <c r="A7" s="234"/>
      <c r="B7" s="234"/>
      <c r="C7" s="219"/>
      <c r="D7" s="218"/>
      <c r="E7" s="218"/>
      <c r="F7" s="218"/>
      <c r="G7" s="218"/>
      <c r="H7" s="218"/>
      <c r="I7" s="218">
        <v>50000</v>
      </c>
      <c r="J7" s="218"/>
      <c r="K7" s="218"/>
      <c r="L7" s="220"/>
      <c r="M7" s="219"/>
      <c r="N7" s="234"/>
      <c r="O7" s="234"/>
      <c r="P7" s="234"/>
      <c r="Q7" s="234"/>
      <c r="R7" s="234"/>
      <c r="S7" s="143" t="s">
        <v>148</v>
      </c>
      <c r="T7" s="145" t="s">
        <v>140</v>
      </c>
    </row>
    <row r="8" spans="1:23" x14ac:dyDescent="0.25">
      <c r="A8" s="217"/>
      <c r="B8" s="217"/>
      <c r="C8" s="215"/>
      <c r="D8" s="214"/>
      <c r="E8" s="214"/>
      <c r="F8" s="214"/>
      <c r="G8" s="214"/>
      <c r="H8" s="214"/>
      <c r="I8" s="214"/>
      <c r="J8" s="214"/>
      <c r="K8" s="214"/>
      <c r="L8" s="216"/>
      <c r="M8" s="215">
        <v>100000</v>
      </c>
      <c r="N8" s="217"/>
      <c r="O8" s="217"/>
      <c r="P8" s="217"/>
      <c r="Q8" s="217"/>
      <c r="R8" s="217"/>
      <c r="S8" s="143" t="s">
        <v>146</v>
      </c>
      <c r="T8" s="145" t="s">
        <v>147</v>
      </c>
    </row>
    <row r="9" spans="1:23" x14ac:dyDescent="0.25">
      <c r="A9" s="217"/>
      <c r="B9" s="214"/>
      <c r="C9" s="215">
        <v>30000</v>
      </c>
      <c r="D9" s="214"/>
      <c r="E9" s="215"/>
      <c r="F9" s="215"/>
      <c r="G9" s="215"/>
      <c r="H9" s="215"/>
      <c r="I9" s="215"/>
      <c r="J9" s="215"/>
      <c r="K9" s="215"/>
      <c r="L9" s="216"/>
      <c r="M9" s="215"/>
      <c r="N9" s="214"/>
      <c r="O9" s="214"/>
      <c r="P9" s="214"/>
      <c r="Q9" s="214"/>
      <c r="R9" s="214"/>
      <c r="S9" s="143" t="s">
        <v>146</v>
      </c>
      <c r="T9" s="145" t="s">
        <v>147</v>
      </c>
    </row>
    <row r="10" spans="1:23" x14ac:dyDescent="0.25">
      <c r="A10" s="217"/>
      <c r="B10" s="217"/>
      <c r="C10" s="215"/>
      <c r="D10" s="214"/>
      <c r="E10" s="214"/>
      <c r="F10" s="214"/>
      <c r="G10" s="214"/>
      <c r="H10" s="214"/>
      <c r="I10" s="214">
        <v>50000</v>
      </c>
      <c r="J10" s="214"/>
      <c r="K10" s="214"/>
      <c r="L10" s="216"/>
      <c r="M10" s="215"/>
      <c r="N10" s="217"/>
      <c r="O10" s="217"/>
      <c r="P10" s="217"/>
      <c r="Q10" s="217"/>
      <c r="R10" s="217"/>
      <c r="S10" s="143" t="s">
        <v>146</v>
      </c>
      <c r="T10" s="145" t="s">
        <v>147</v>
      </c>
    </row>
    <row r="11" spans="1:23" x14ac:dyDescent="0.25">
      <c r="A11" s="247"/>
      <c r="B11" s="248"/>
      <c r="C11" s="249"/>
      <c r="D11" s="248"/>
      <c r="E11" s="249"/>
      <c r="F11" s="249">
        <v>10000</v>
      </c>
      <c r="G11" s="249"/>
      <c r="H11" s="249"/>
      <c r="I11" s="249"/>
      <c r="J11" s="249"/>
      <c r="K11" s="249"/>
      <c r="L11" s="250"/>
      <c r="M11" s="249"/>
      <c r="N11" s="248"/>
      <c r="O11" s="248"/>
      <c r="P11" s="248"/>
      <c r="Q11" s="248"/>
      <c r="R11" s="248"/>
      <c r="S11" s="143" t="s">
        <v>149</v>
      </c>
      <c r="T11" s="145" t="s">
        <v>154</v>
      </c>
    </row>
    <row r="12" spans="1:23" x14ac:dyDescent="0.25">
      <c r="A12" s="251"/>
      <c r="B12" s="248"/>
      <c r="C12" s="249"/>
      <c r="D12" s="248">
        <v>10000</v>
      </c>
      <c r="E12" s="249"/>
      <c r="F12" s="249"/>
      <c r="G12" s="249"/>
      <c r="H12" s="249"/>
      <c r="I12" s="249"/>
      <c r="J12" s="249"/>
      <c r="K12" s="249"/>
      <c r="L12" s="250"/>
      <c r="M12" s="249"/>
      <c r="N12" s="248"/>
      <c r="O12" s="248"/>
      <c r="P12" s="249"/>
      <c r="Q12" s="249"/>
      <c r="R12" s="252"/>
      <c r="S12" s="143" t="s">
        <v>149</v>
      </c>
      <c r="T12" s="145" t="s">
        <v>154</v>
      </c>
    </row>
    <row r="13" spans="1:23" x14ac:dyDescent="0.25">
      <c r="A13" s="251"/>
      <c r="B13" s="248"/>
      <c r="C13" s="249"/>
      <c r="D13" s="249"/>
      <c r="E13" s="249">
        <v>10000</v>
      </c>
      <c r="F13" s="249"/>
      <c r="G13" s="249"/>
      <c r="H13" s="249"/>
      <c r="I13" s="249"/>
      <c r="J13" s="253"/>
      <c r="K13" s="249"/>
      <c r="L13" s="250"/>
      <c r="M13" s="249"/>
      <c r="N13" s="248"/>
      <c r="O13" s="248"/>
      <c r="P13" s="248"/>
      <c r="Q13" s="248"/>
      <c r="R13" s="254"/>
      <c r="S13" s="143" t="s">
        <v>149</v>
      </c>
      <c r="T13" s="145" t="s">
        <v>154</v>
      </c>
    </row>
    <row r="14" spans="1:23" x14ac:dyDescent="0.25">
      <c r="A14" s="247"/>
      <c r="B14" s="248">
        <v>100000</v>
      </c>
      <c r="C14" s="249"/>
      <c r="D14" s="248"/>
      <c r="E14" s="249"/>
      <c r="F14" s="249"/>
      <c r="G14" s="249"/>
      <c r="H14" s="249"/>
      <c r="I14" s="249"/>
      <c r="J14" s="249"/>
      <c r="K14" s="249"/>
      <c r="L14" s="250"/>
      <c r="M14" s="249"/>
      <c r="N14" s="248"/>
      <c r="O14" s="248"/>
      <c r="P14" s="248"/>
      <c r="Q14" s="248"/>
      <c r="R14" s="248"/>
      <c r="S14" s="143" t="s">
        <v>149</v>
      </c>
      <c r="T14" s="145" t="s">
        <v>154</v>
      </c>
    </row>
    <row r="15" spans="1:23" x14ac:dyDescent="0.25">
      <c r="A15" s="251"/>
      <c r="B15" s="248"/>
      <c r="C15" s="249"/>
      <c r="D15" s="249"/>
      <c r="E15" s="249">
        <v>10000</v>
      </c>
      <c r="F15" s="249"/>
      <c r="G15" s="249"/>
      <c r="H15" s="249"/>
      <c r="I15" s="249"/>
      <c r="J15" s="253"/>
      <c r="K15" s="249"/>
      <c r="L15" s="250"/>
      <c r="M15" s="249"/>
      <c r="N15" s="248"/>
      <c r="O15" s="248"/>
      <c r="P15" s="248"/>
      <c r="Q15" s="248"/>
      <c r="R15" s="254"/>
      <c r="S15" s="143" t="s">
        <v>149</v>
      </c>
      <c r="T15" s="145" t="s">
        <v>154</v>
      </c>
    </row>
    <row r="16" spans="1:23" x14ac:dyDescent="0.25">
      <c r="A16" s="270"/>
      <c r="B16" s="271"/>
      <c r="C16" s="272"/>
      <c r="D16" s="271"/>
      <c r="E16" s="272"/>
      <c r="F16" s="272"/>
      <c r="G16" s="272"/>
      <c r="H16" s="272"/>
      <c r="I16" s="272"/>
      <c r="J16" s="272"/>
      <c r="K16" s="272"/>
      <c r="L16" s="273"/>
      <c r="M16" s="272">
        <v>18500</v>
      </c>
      <c r="N16" s="271"/>
      <c r="O16" s="271"/>
      <c r="P16" s="271"/>
      <c r="Q16" s="271"/>
      <c r="R16" s="271"/>
      <c r="S16" s="143" t="s">
        <v>155</v>
      </c>
      <c r="T16" s="145" t="s">
        <v>154</v>
      </c>
    </row>
    <row r="17" spans="1:20" x14ac:dyDescent="0.25">
      <c r="A17" s="270"/>
      <c r="B17" s="270"/>
      <c r="C17" s="272"/>
      <c r="D17" s="271"/>
      <c r="E17" s="271">
        <v>18500</v>
      </c>
      <c r="F17" s="271"/>
      <c r="G17" s="271"/>
      <c r="H17" s="271"/>
      <c r="I17" s="271"/>
      <c r="J17" s="271"/>
      <c r="K17" s="271"/>
      <c r="L17" s="273"/>
      <c r="M17" s="272"/>
      <c r="N17" s="270"/>
      <c r="O17" s="270"/>
      <c r="P17" s="270"/>
      <c r="Q17" s="270"/>
      <c r="R17" s="270"/>
      <c r="S17" s="143" t="s">
        <v>155</v>
      </c>
      <c r="T17" s="145" t="s">
        <v>154</v>
      </c>
    </row>
    <row r="18" spans="1:20" x14ac:dyDescent="0.25">
      <c r="A18" s="270"/>
      <c r="B18" s="271"/>
      <c r="C18" s="272"/>
      <c r="D18" s="271"/>
      <c r="E18" s="272"/>
      <c r="F18" s="272"/>
      <c r="G18" s="272"/>
      <c r="H18" s="272"/>
      <c r="I18" s="272"/>
      <c r="J18" s="272">
        <v>35000</v>
      </c>
      <c r="K18" s="272"/>
      <c r="L18" s="273"/>
      <c r="M18" s="272"/>
      <c r="N18" s="271"/>
      <c r="O18" s="271"/>
      <c r="P18" s="271"/>
      <c r="Q18" s="271"/>
      <c r="R18" s="271"/>
      <c r="S18" s="143" t="s">
        <v>155</v>
      </c>
      <c r="T18" s="145" t="s">
        <v>154</v>
      </c>
    </row>
    <row r="19" spans="1:20" x14ac:dyDescent="0.25">
      <c r="A19" s="255"/>
      <c r="B19" s="256"/>
      <c r="C19" s="257"/>
      <c r="D19" s="256">
        <v>10000</v>
      </c>
      <c r="E19" s="257"/>
      <c r="F19" s="257"/>
      <c r="G19" s="257"/>
      <c r="H19" s="257"/>
      <c r="I19" s="257"/>
      <c r="J19" s="257"/>
      <c r="K19" s="257"/>
      <c r="L19" s="258"/>
      <c r="M19" s="257"/>
      <c r="N19" s="256"/>
      <c r="O19" s="256"/>
      <c r="P19" s="256"/>
      <c r="Q19" s="256"/>
      <c r="R19" s="256"/>
      <c r="S19" s="143" t="s">
        <v>160</v>
      </c>
      <c r="T19" s="145" t="s">
        <v>140</v>
      </c>
    </row>
    <row r="20" spans="1:20" x14ac:dyDescent="0.25">
      <c r="A20" s="259"/>
      <c r="B20" s="256"/>
      <c r="C20" s="257"/>
      <c r="D20" s="256"/>
      <c r="E20" s="257"/>
      <c r="F20" s="257">
        <v>10000</v>
      </c>
      <c r="G20" s="257"/>
      <c r="H20" s="257"/>
      <c r="I20" s="257"/>
      <c r="J20" s="260"/>
      <c r="K20" s="257"/>
      <c r="L20" s="258"/>
      <c r="M20" s="257"/>
      <c r="N20" s="256"/>
      <c r="O20" s="256"/>
      <c r="P20" s="256"/>
      <c r="Q20" s="256"/>
      <c r="R20" s="261"/>
      <c r="S20" s="143" t="s">
        <v>160</v>
      </c>
      <c r="T20" s="145" t="s">
        <v>140</v>
      </c>
    </row>
    <row r="21" spans="1:20" x14ac:dyDescent="0.25">
      <c r="A21" s="262"/>
      <c r="B21" s="263"/>
      <c r="C21" s="264"/>
      <c r="D21" s="264"/>
      <c r="E21" s="264"/>
      <c r="F21" s="264"/>
      <c r="G21" s="264"/>
      <c r="H21" s="264"/>
      <c r="I21" s="264"/>
      <c r="J21" s="265"/>
      <c r="K21" s="264"/>
      <c r="L21" s="266"/>
      <c r="M21" s="264">
        <v>13000</v>
      </c>
      <c r="N21" s="263"/>
      <c r="O21" s="263"/>
      <c r="P21" s="263"/>
      <c r="Q21" s="263"/>
      <c r="R21" s="263"/>
      <c r="S21" s="143" t="s">
        <v>159</v>
      </c>
      <c r="T21" s="145" t="s">
        <v>140</v>
      </c>
    </row>
    <row r="22" spans="1:20" x14ac:dyDescent="0.25">
      <c r="A22" s="262"/>
      <c r="B22" s="263"/>
      <c r="C22" s="264"/>
      <c r="D22" s="263"/>
      <c r="E22" s="264">
        <v>13000</v>
      </c>
      <c r="F22" s="264"/>
      <c r="G22" s="264"/>
      <c r="H22" s="264"/>
      <c r="I22" s="264"/>
      <c r="J22" s="264"/>
      <c r="K22" s="264"/>
      <c r="L22" s="266"/>
      <c r="M22" s="264"/>
      <c r="N22" s="263"/>
      <c r="O22" s="263"/>
      <c r="P22" s="263"/>
      <c r="Q22" s="263"/>
      <c r="R22" s="263"/>
      <c r="S22" s="143" t="s">
        <v>159</v>
      </c>
      <c r="T22" s="145" t="s">
        <v>140</v>
      </c>
    </row>
    <row r="23" spans="1:20" x14ac:dyDescent="0.25">
      <c r="A23" s="221"/>
      <c r="B23" s="222"/>
      <c r="C23" s="223"/>
      <c r="D23" s="222">
        <v>10000</v>
      </c>
      <c r="E23" s="223"/>
      <c r="F23" s="223"/>
      <c r="G23" s="223"/>
      <c r="H23" s="223"/>
      <c r="I23" s="223"/>
      <c r="J23" s="223"/>
      <c r="K23" s="223"/>
      <c r="L23" s="224"/>
      <c r="M23" s="223"/>
      <c r="N23" s="222"/>
      <c r="O23" s="222"/>
      <c r="P23" s="222"/>
      <c r="Q23" s="222"/>
      <c r="R23" s="222"/>
      <c r="S23" s="143" t="s">
        <v>161</v>
      </c>
      <c r="T23" s="145" t="s">
        <v>147</v>
      </c>
    </row>
    <row r="24" spans="1:20" x14ac:dyDescent="0.25">
      <c r="A24" s="267"/>
      <c r="B24" s="222"/>
      <c r="C24" s="223"/>
      <c r="D24" s="222"/>
      <c r="E24" s="223"/>
      <c r="F24" s="223">
        <v>10000</v>
      </c>
      <c r="G24" s="223"/>
      <c r="H24" s="223"/>
      <c r="I24" s="223"/>
      <c r="J24" s="268"/>
      <c r="K24" s="223"/>
      <c r="L24" s="224"/>
      <c r="M24" s="223"/>
      <c r="N24" s="222"/>
      <c r="O24" s="222"/>
      <c r="P24" s="222"/>
      <c r="Q24" s="222"/>
      <c r="R24" s="269"/>
      <c r="S24" s="143" t="s">
        <v>161</v>
      </c>
      <c r="T24" s="145" t="s">
        <v>147</v>
      </c>
    </row>
    <row r="25" spans="1:20" x14ac:dyDescent="0.25">
      <c r="A25" s="262"/>
      <c r="B25" s="263"/>
      <c r="C25" s="264"/>
      <c r="D25" s="264"/>
      <c r="E25" s="264"/>
      <c r="F25" s="264"/>
      <c r="G25" s="264"/>
      <c r="H25" s="264"/>
      <c r="I25" s="264"/>
      <c r="J25" s="265"/>
      <c r="K25" s="264"/>
      <c r="L25" s="266"/>
      <c r="M25" s="264">
        <v>15000</v>
      </c>
      <c r="N25" s="263"/>
      <c r="O25" s="263"/>
      <c r="P25" s="263"/>
      <c r="Q25" s="263"/>
      <c r="R25" s="263"/>
      <c r="S25" s="143" t="s">
        <v>162</v>
      </c>
      <c r="T25" s="145" t="s">
        <v>147</v>
      </c>
    </row>
    <row r="26" spans="1:20" x14ac:dyDescent="0.25">
      <c r="A26" s="262"/>
      <c r="B26" s="263"/>
      <c r="C26" s="264"/>
      <c r="D26" s="263"/>
      <c r="E26" s="264">
        <v>15000</v>
      </c>
      <c r="F26" s="264"/>
      <c r="G26" s="264"/>
      <c r="H26" s="264"/>
      <c r="I26" s="264"/>
      <c r="J26" s="264"/>
      <c r="K26" s="264"/>
      <c r="L26" s="266"/>
      <c r="M26" s="264"/>
      <c r="N26" s="263"/>
      <c r="O26" s="263"/>
      <c r="P26" s="263"/>
      <c r="Q26" s="263"/>
      <c r="R26" s="263"/>
      <c r="S26" s="143" t="s">
        <v>162</v>
      </c>
      <c r="T26" s="145" t="s">
        <v>147</v>
      </c>
    </row>
    <row r="27" spans="1:20" x14ac:dyDescent="0.25">
      <c r="A27" s="255"/>
      <c r="B27" s="255"/>
      <c r="C27" s="257"/>
      <c r="D27" s="256"/>
      <c r="E27" s="256"/>
      <c r="F27" s="256"/>
      <c r="G27" s="256"/>
      <c r="H27" s="256"/>
      <c r="I27" s="256"/>
      <c r="J27" s="256"/>
      <c r="K27" s="256"/>
      <c r="L27" s="258"/>
      <c r="M27" s="257">
        <v>832500</v>
      </c>
      <c r="N27" s="255"/>
      <c r="O27" s="255"/>
      <c r="P27" s="255"/>
      <c r="Q27" s="255"/>
      <c r="R27" s="255"/>
      <c r="S27" s="143" t="s">
        <v>167</v>
      </c>
      <c r="T27" s="145" t="s">
        <v>166</v>
      </c>
    </row>
    <row r="28" spans="1:20" x14ac:dyDescent="0.25">
      <c r="A28" s="255"/>
      <c r="B28" s="256"/>
      <c r="C28" s="257">
        <v>30000</v>
      </c>
      <c r="D28" s="257"/>
      <c r="E28" s="257"/>
      <c r="F28" s="257"/>
      <c r="G28" s="257"/>
      <c r="H28" s="257"/>
      <c r="I28" s="257"/>
      <c r="J28" s="260"/>
      <c r="K28" s="257"/>
      <c r="L28" s="258"/>
      <c r="M28" s="257"/>
      <c r="N28" s="256"/>
      <c r="O28" s="256"/>
      <c r="P28" s="256"/>
      <c r="Q28" s="256"/>
      <c r="R28" s="256"/>
      <c r="S28" s="143" t="s">
        <v>167</v>
      </c>
      <c r="T28" s="145" t="s">
        <v>166</v>
      </c>
    </row>
    <row r="29" spans="1:20" x14ac:dyDescent="0.25">
      <c r="A29" s="255"/>
      <c r="B29" s="256"/>
      <c r="C29" s="257"/>
      <c r="D29" s="256"/>
      <c r="E29" s="257"/>
      <c r="F29" s="257"/>
      <c r="G29" s="257"/>
      <c r="H29" s="257"/>
      <c r="I29" s="257">
        <v>50000</v>
      </c>
      <c r="J29" s="257"/>
      <c r="K29" s="257"/>
      <c r="L29" s="258"/>
      <c r="M29" s="257"/>
      <c r="N29" s="256"/>
      <c r="O29" s="256"/>
      <c r="P29" s="256"/>
      <c r="Q29" s="256"/>
      <c r="R29" s="256"/>
      <c r="S29" s="143" t="s">
        <v>167</v>
      </c>
      <c r="T29" s="145" t="s">
        <v>166</v>
      </c>
    </row>
    <row r="30" spans="1:20" x14ac:dyDescent="0.25">
      <c r="A30" s="274"/>
      <c r="B30" s="274"/>
      <c r="C30" s="275"/>
      <c r="D30" s="276"/>
      <c r="E30" s="276">
        <v>10000</v>
      </c>
      <c r="F30" s="276"/>
      <c r="G30" s="276"/>
      <c r="H30" s="276"/>
      <c r="I30" s="276"/>
      <c r="J30" s="276"/>
      <c r="K30" s="276"/>
      <c r="L30" s="277"/>
      <c r="M30" s="275"/>
      <c r="N30" s="274"/>
      <c r="O30" s="274"/>
      <c r="P30" s="274"/>
      <c r="Q30" s="274"/>
      <c r="R30" s="274"/>
      <c r="S30" s="143" t="s">
        <v>174</v>
      </c>
      <c r="T30" s="145" t="s">
        <v>166</v>
      </c>
    </row>
    <row r="31" spans="1:20" x14ac:dyDescent="0.25">
      <c r="A31" s="274">
        <v>18000</v>
      </c>
      <c r="B31" s="276"/>
      <c r="C31" s="275"/>
      <c r="D31" s="275"/>
      <c r="E31" s="275"/>
      <c r="F31" s="275"/>
      <c r="G31" s="275"/>
      <c r="H31" s="275"/>
      <c r="I31" s="275"/>
      <c r="J31" s="278"/>
      <c r="K31" s="275"/>
      <c r="L31" s="277"/>
      <c r="M31" s="275"/>
      <c r="N31" s="276"/>
      <c r="O31" s="276"/>
      <c r="P31" s="276"/>
      <c r="Q31" s="276"/>
      <c r="R31" s="276"/>
      <c r="S31" s="143" t="s">
        <v>174</v>
      </c>
      <c r="T31" s="145" t="s">
        <v>166</v>
      </c>
    </row>
    <row r="32" spans="1:20" x14ac:dyDescent="0.25">
      <c r="A32" s="274"/>
      <c r="B32" s="276"/>
      <c r="C32" s="275"/>
      <c r="D32" s="276"/>
      <c r="E32" s="275">
        <v>10000</v>
      </c>
      <c r="F32" s="275"/>
      <c r="G32" s="275"/>
      <c r="H32" s="275"/>
      <c r="I32" s="275"/>
      <c r="J32" s="275"/>
      <c r="K32" s="275"/>
      <c r="L32" s="277"/>
      <c r="M32" s="275"/>
      <c r="N32" s="276"/>
      <c r="O32" s="276"/>
      <c r="P32" s="276"/>
      <c r="Q32" s="276"/>
      <c r="R32" s="276"/>
      <c r="S32" s="143" t="s">
        <v>174</v>
      </c>
      <c r="T32" s="145" t="s">
        <v>166</v>
      </c>
    </row>
    <row r="33" spans="1:20" x14ac:dyDescent="0.25">
      <c r="A33" s="274">
        <v>65000</v>
      </c>
      <c r="B33" s="274"/>
      <c r="C33" s="275"/>
      <c r="D33" s="276"/>
      <c r="E33" s="276"/>
      <c r="F33" s="276"/>
      <c r="G33" s="276"/>
      <c r="H33" s="276"/>
      <c r="I33" s="276"/>
      <c r="J33" s="276"/>
      <c r="K33" s="276"/>
      <c r="L33" s="277"/>
      <c r="M33" s="275"/>
      <c r="N33" s="274"/>
      <c r="O33" s="274"/>
      <c r="P33" s="274"/>
      <c r="Q33" s="274"/>
      <c r="R33" s="274"/>
      <c r="S33" s="143" t="s">
        <v>174</v>
      </c>
      <c r="T33" s="145" t="s">
        <v>166</v>
      </c>
    </row>
    <row r="34" spans="1:20" x14ac:dyDescent="0.25">
      <c r="A34" s="274"/>
      <c r="B34" s="274"/>
      <c r="C34" s="275"/>
      <c r="D34" s="276"/>
      <c r="E34" s="276">
        <v>10000</v>
      </c>
      <c r="F34" s="276"/>
      <c r="G34" s="276"/>
      <c r="H34" s="276"/>
      <c r="I34" s="276"/>
      <c r="J34" s="276"/>
      <c r="K34" s="276"/>
      <c r="L34" s="277"/>
      <c r="M34" s="275"/>
      <c r="N34" s="274"/>
      <c r="O34" s="274"/>
      <c r="P34" s="274"/>
      <c r="Q34" s="274"/>
      <c r="R34" s="274"/>
      <c r="S34" s="143" t="s">
        <v>174</v>
      </c>
      <c r="T34" s="145" t="s">
        <v>166</v>
      </c>
    </row>
    <row r="35" spans="1:20" x14ac:dyDescent="0.25">
      <c r="A35" s="225"/>
      <c r="B35" s="226"/>
      <c r="C35" s="227"/>
      <c r="D35" s="226"/>
      <c r="E35" s="227"/>
      <c r="F35" s="227"/>
      <c r="G35" s="227"/>
      <c r="H35" s="227"/>
      <c r="I35" s="227"/>
      <c r="J35" s="227"/>
      <c r="K35" s="227"/>
      <c r="L35" s="229"/>
      <c r="M35" s="227"/>
      <c r="N35" s="226"/>
      <c r="O35" s="226"/>
      <c r="P35" s="226"/>
      <c r="Q35" s="226"/>
      <c r="R35" s="226"/>
      <c r="S35" s="143"/>
      <c r="T35" s="145"/>
    </row>
    <row r="36" spans="1:20" x14ac:dyDescent="0.25">
      <c r="A36" s="225"/>
      <c r="B36" s="225"/>
      <c r="C36" s="227"/>
      <c r="D36" s="226"/>
      <c r="E36" s="226"/>
      <c r="F36" s="226"/>
      <c r="G36" s="226"/>
      <c r="H36" s="226"/>
      <c r="I36" s="226"/>
      <c r="J36" s="226"/>
      <c r="K36" s="226"/>
      <c r="L36" s="229"/>
      <c r="M36" s="227"/>
      <c r="N36" s="225"/>
      <c r="O36" s="225"/>
      <c r="P36" s="225"/>
      <c r="Q36" s="225"/>
      <c r="R36" s="225"/>
      <c r="S36" s="143"/>
      <c r="T36" s="145"/>
    </row>
    <row r="37" spans="1:20" x14ac:dyDescent="0.25">
      <c r="A37" s="225"/>
      <c r="B37" s="226"/>
      <c r="C37" s="227"/>
      <c r="D37" s="227"/>
      <c r="E37" s="227"/>
      <c r="F37" s="227"/>
      <c r="G37" s="227"/>
      <c r="H37" s="227"/>
      <c r="I37" s="227"/>
      <c r="J37" s="228"/>
      <c r="K37" s="227"/>
      <c r="L37" s="229"/>
      <c r="M37" s="227"/>
      <c r="N37" s="226"/>
      <c r="O37" s="226"/>
      <c r="P37" s="226"/>
      <c r="Q37" s="226"/>
      <c r="R37" s="226"/>
      <c r="S37" s="143"/>
      <c r="T37" s="145"/>
    </row>
    <row r="38" spans="1:20" x14ac:dyDescent="0.25">
      <c r="A38" s="225"/>
      <c r="B38" s="226"/>
      <c r="C38" s="227"/>
      <c r="D38" s="226"/>
      <c r="E38" s="227"/>
      <c r="F38" s="227"/>
      <c r="G38" s="227"/>
      <c r="H38" s="227"/>
      <c r="I38" s="227"/>
      <c r="J38" s="227"/>
      <c r="K38" s="227"/>
      <c r="L38" s="229"/>
      <c r="M38" s="227"/>
      <c r="N38" s="226"/>
      <c r="O38" s="226"/>
      <c r="P38" s="226"/>
      <c r="Q38" s="226"/>
      <c r="R38" s="226"/>
      <c r="S38" s="143"/>
      <c r="T38" s="145"/>
    </row>
    <row r="39" spans="1:20" x14ac:dyDescent="0.25">
      <c r="A39" s="225"/>
      <c r="B39" s="225"/>
      <c r="C39" s="227"/>
      <c r="D39" s="226"/>
      <c r="E39" s="226"/>
      <c r="F39" s="226"/>
      <c r="G39" s="226"/>
      <c r="H39" s="226"/>
      <c r="I39" s="226"/>
      <c r="J39" s="226"/>
      <c r="K39" s="226"/>
      <c r="L39" s="229"/>
      <c r="M39" s="227"/>
      <c r="N39" s="225"/>
      <c r="O39" s="225"/>
      <c r="P39" s="225"/>
      <c r="Q39" s="225"/>
      <c r="R39" s="225"/>
      <c r="S39" s="143"/>
      <c r="T39" s="145"/>
    </row>
    <row r="40" spans="1:20" x14ac:dyDescent="0.25">
      <c r="A40" s="230"/>
      <c r="B40" s="226"/>
      <c r="C40" s="227"/>
      <c r="D40" s="226"/>
      <c r="E40" s="227"/>
      <c r="F40" s="227"/>
      <c r="G40" s="227"/>
      <c r="H40" s="227"/>
      <c r="I40" s="227"/>
      <c r="J40" s="227"/>
      <c r="K40" s="227"/>
      <c r="L40" s="229"/>
      <c r="M40" s="227"/>
      <c r="N40" s="226"/>
      <c r="O40" s="226"/>
      <c r="P40" s="227"/>
      <c r="Q40" s="227"/>
      <c r="R40" s="231"/>
      <c r="S40" s="143"/>
      <c r="T40" s="145"/>
    </row>
    <row r="41" spans="1:20" x14ac:dyDescent="0.25">
      <c r="A41" s="230"/>
      <c r="B41" s="226"/>
      <c r="C41" s="227"/>
      <c r="D41" s="227"/>
      <c r="E41" s="227"/>
      <c r="F41" s="227"/>
      <c r="G41" s="227"/>
      <c r="H41" s="227"/>
      <c r="I41" s="227"/>
      <c r="J41" s="228"/>
      <c r="K41" s="227"/>
      <c r="L41" s="229"/>
      <c r="M41" s="227"/>
      <c r="N41" s="226"/>
      <c r="O41" s="226"/>
      <c r="P41" s="226"/>
      <c r="Q41" s="226"/>
      <c r="R41" s="232"/>
      <c r="S41" s="143"/>
      <c r="T41" s="145"/>
    </row>
    <row r="42" spans="1:20" x14ac:dyDescent="0.25">
      <c r="A42" s="233"/>
      <c r="B42" s="226"/>
      <c r="C42" s="227"/>
      <c r="D42" s="226"/>
      <c r="E42" s="226"/>
      <c r="F42" s="226"/>
      <c r="G42" s="226"/>
      <c r="H42" s="226"/>
      <c r="I42" s="227"/>
      <c r="J42" s="226"/>
      <c r="K42" s="226"/>
      <c r="L42" s="229"/>
      <c r="M42" s="227"/>
      <c r="N42" s="227"/>
      <c r="O42" s="226"/>
      <c r="P42" s="226"/>
      <c r="Q42" s="226"/>
      <c r="R42" s="232"/>
      <c r="S42" s="143"/>
      <c r="T42" s="145"/>
    </row>
    <row r="43" spans="1:20" x14ac:dyDescent="0.25">
      <c r="A43" s="233"/>
      <c r="B43" s="226"/>
      <c r="C43" s="227"/>
      <c r="D43" s="226"/>
      <c r="E43" s="226"/>
      <c r="F43" s="226"/>
      <c r="G43" s="226"/>
      <c r="H43" s="226"/>
      <c r="I43" s="227"/>
      <c r="J43" s="226"/>
      <c r="K43" s="226"/>
      <c r="L43" s="229"/>
      <c r="M43" s="227"/>
      <c r="N43" s="227"/>
      <c r="O43" s="226"/>
      <c r="P43" s="226"/>
      <c r="Q43" s="226"/>
      <c r="R43" s="232"/>
      <c r="S43" s="143"/>
      <c r="T43" s="145"/>
    </row>
    <row r="44" spans="1:20" x14ac:dyDescent="0.25">
      <c r="A44" s="225"/>
      <c r="B44" s="226"/>
      <c r="C44" s="227"/>
      <c r="D44" s="227"/>
      <c r="E44" s="227"/>
      <c r="F44" s="227"/>
      <c r="G44" s="227"/>
      <c r="H44" s="227"/>
      <c r="I44" s="227"/>
      <c r="J44" s="228"/>
      <c r="K44" s="227"/>
      <c r="L44" s="229"/>
      <c r="M44" s="227"/>
      <c r="N44" s="226"/>
      <c r="O44" s="226"/>
      <c r="P44" s="226"/>
      <c r="Q44" s="226"/>
      <c r="R44" s="226"/>
      <c r="S44" s="143"/>
      <c r="T44" s="145"/>
    </row>
    <row r="45" spans="1:20" x14ac:dyDescent="0.25">
      <c r="A45" s="225"/>
      <c r="B45" s="226"/>
      <c r="C45" s="227"/>
      <c r="D45" s="226"/>
      <c r="E45" s="227"/>
      <c r="F45" s="227"/>
      <c r="G45" s="227"/>
      <c r="H45" s="227"/>
      <c r="I45" s="227"/>
      <c r="J45" s="227"/>
      <c r="K45" s="227"/>
      <c r="L45" s="229"/>
      <c r="M45" s="227"/>
      <c r="N45" s="226"/>
      <c r="O45" s="226"/>
      <c r="P45" s="226"/>
      <c r="Q45" s="226"/>
      <c r="R45" s="226"/>
      <c r="S45" s="143"/>
      <c r="T45" s="145"/>
    </row>
    <row r="46" spans="1:20" x14ac:dyDescent="0.25">
      <c r="A46" s="225"/>
      <c r="B46" s="225"/>
      <c r="C46" s="227"/>
      <c r="D46" s="226"/>
      <c r="E46" s="226"/>
      <c r="F46" s="226"/>
      <c r="G46" s="226"/>
      <c r="H46" s="226"/>
      <c r="I46" s="226"/>
      <c r="J46" s="226"/>
      <c r="K46" s="226"/>
      <c r="L46" s="229"/>
      <c r="M46" s="227"/>
      <c r="N46" s="225"/>
      <c r="O46" s="225"/>
      <c r="P46" s="225"/>
      <c r="Q46" s="225"/>
      <c r="R46" s="225"/>
      <c r="S46" s="143"/>
      <c r="T46" s="145"/>
    </row>
    <row r="47" spans="1:20" x14ac:dyDescent="0.25">
      <c r="A47" s="225"/>
      <c r="B47" s="226"/>
      <c r="C47" s="227"/>
      <c r="D47" s="227"/>
      <c r="E47" s="227"/>
      <c r="F47" s="227"/>
      <c r="G47" s="227"/>
      <c r="H47" s="227"/>
      <c r="I47" s="227"/>
      <c r="J47" s="228"/>
      <c r="K47" s="227"/>
      <c r="L47" s="229"/>
      <c r="M47" s="227"/>
      <c r="N47" s="226"/>
      <c r="O47" s="226"/>
      <c r="P47" s="226"/>
      <c r="Q47" s="226"/>
      <c r="R47" s="226"/>
      <c r="S47" s="143"/>
      <c r="T47" s="145"/>
    </row>
    <row r="48" spans="1:20" x14ac:dyDescent="0.25">
      <c r="A48" s="225"/>
      <c r="B48" s="226"/>
      <c r="C48" s="227"/>
      <c r="D48" s="226"/>
      <c r="E48" s="227"/>
      <c r="F48" s="227"/>
      <c r="G48" s="227"/>
      <c r="H48" s="227"/>
      <c r="I48" s="227"/>
      <c r="J48" s="227"/>
      <c r="K48" s="227"/>
      <c r="L48" s="229"/>
      <c r="M48" s="227"/>
      <c r="N48" s="226"/>
      <c r="O48" s="226"/>
      <c r="P48" s="226"/>
      <c r="Q48" s="226"/>
      <c r="R48" s="226"/>
      <c r="S48" s="143"/>
      <c r="T48" s="145"/>
    </row>
    <row r="49" spans="1:20" x14ac:dyDescent="0.25">
      <c r="A49" s="225"/>
      <c r="B49" s="225"/>
      <c r="C49" s="227"/>
      <c r="D49" s="226"/>
      <c r="E49" s="226"/>
      <c r="F49" s="226"/>
      <c r="G49" s="226"/>
      <c r="H49" s="226"/>
      <c r="I49" s="226"/>
      <c r="J49" s="226"/>
      <c r="K49" s="226"/>
      <c r="L49" s="229"/>
      <c r="M49" s="227"/>
      <c r="N49" s="225"/>
      <c r="O49" s="225"/>
      <c r="P49" s="225"/>
      <c r="Q49" s="225"/>
      <c r="R49" s="225"/>
      <c r="S49" s="143"/>
      <c r="T49" s="145"/>
    </row>
    <row r="50" spans="1:20" x14ac:dyDescent="0.25">
      <c r="A50" s="234"/>
      <c r="B50" s="218"/>
      <c r="C50" s="219"/>
      <c r="D50" s="219"/>
      <c r="E50" s="219"/>
      <c r="F50" s="219"/>
      <c r="G50" s="219"/>
      <c r="H50" s="219"/>
      <c r="I50" s="219"/>
      <c r="J50" s="235"/>
      <c r="K50" s="219"/>
      <c r="L50" s="220"/>
      <c r="M50" s="219"/>
      <c r="N50" s="218"/>
      <c r="O50" s="218"/>
      <c r="P50" s="218"/>
      <c r="Q50" s="218"/>
      <c r="R50" s="218"/>
      <c r="S50" s="143"/>
      <c r="T50" s="145"/>
    </row>
    <row r="51" spans="1:20" x14ac:dyDescent="0.25">
      <c r="A51" s="234"/>
      <c r="B51" s="218"/>
      <c r="C51" s="219"/>
      <c r="D51" s="218"/>
      <c r="E51" s="219"/>
      <c r="F51" s="219"/>
      <c r="G51" s="219"/>
      <c r="H51" s="219"/>
      <c r="I51" s="219"/>
      <c r="J51" s="219"/>
      <c r="K51" s="219"/>
      <c r="L51" s="220"/>
      <c r="M51" s="219"/>
      <c r="N51" s="218"/>
      <c r="O51" s="218"/>
      <c r="P51" s="218"/>
      <c r="Q51" s="218"/>
      <c r="R51" s="218"/>
      <c r="S51" s="143"/>
      <c r="T51" s="145"/>
    </row>
    <row r="52" spans="1:20" x14ac:dyDescent="0.25">
      <c r="A52" s="234"/>
      <c r="B52" s="234"/>
      <c r="C52" s="219"/>
      <c r="D52" s="218"/>
      <c r="E52" s="218"/>
      <c r="F52" s="218"/>
      <c r="G52" s="218"/>
      <c r="H52" s="218"/>
      <c r="I52" s="218"/>
      <c r="J52" s="218"/>
      <c r="K52" s="218"/>
      <c r="L52" s="220"/>
      <c r="M52" s="219"/>
      <c r="N52" s="234"/>
      <c r="O52" s="234"/>
      <c r="P52" s="234"/>
      <c r="Q52" s="234"/>
      <c r="R52" s="234"/>
      <c r="S52" s="143"/>
      <c r="T52" s="145"/>
    </row>
    <row r="53" spans="1:20" x14ac:dyDescent="0.25">
      <c r="A53" s="221"/>
      <c r="B53" s="221"/>
      <c r="C53" s="223"/>
      <c r="D53" s="222"/>
      <c r="E53" s="222"/>
      <c r="F53" s="222"/>
      <c r="G53" s="222"/>
      <c r="H53" s="222"/>
      <c r="I53" s="223"/>
      <c r="J53" s="222"/>
      <c r="K53" s="222"/>
      <c r="L53" s="224"/>
      <c r="M53" s="223"/>
      <c r="N53" s="221"/>
      <c r="O53" s="221"/>
      <c r="P53" s="221"/>
      <c r="Q53" s="221"/>
      <c r="R53" s="221"/>
      <c r="S53" s="143"/>
      <c r="T53" s="145"/>
    </row>
    <row r="54" spans="1:20" x14ac:dyDescent="0.25">
      <c r="A54" s="236"/>
      <c r="B54" s="236"/>
      <c r="C54" s="223"/>
      <c r="D54" s="222"/>
      <c r="E54" s="222"/>
      <c r="F54" s="222"/>
      <c r="G54" s="222"/>
      <c r="H54" s="222"/>
      <c r="I54" s="222"/>
      <c r="J54" s="222"/>
      <c r="K54" s="222"/>
      <c r="L54" s="224"/>
      <c r="M54" s="223"/>
      <c r="N54" s="236"/>
      <c r="O54" s="236"/>
      <c r="P54" s="236"/>
      <c r="Q54" s="236"/>
      <c r="R54" s="236"/>
      <c r="S54" s="143"/>
      <c r="T54" s="145"/>
    </row>
    <row r="55" spans="1:20" x14ac:dyDescent="0.25">
      <c r="A55" s="221"/>
      <c r="B55" s="221"/>
      <c r="C55" s="223"/>
      <c r="D55" s="222"/>
      <c r="E55" s="222"/>
      <c r="F55" s="222"/>
      <c r="G55" s="222"/>
      <c r="H55" s="222"/>
      <c r="I55" s="223"/>
      <c r="J55" s="222"/>
      <c r="K55" s="222"/>
      <c r="L55" s="224"/>
      <c r="M55" s="223"/>
      <c r="N55" s="221"/>
      <c r="O55" s="221"/>
      <c r="P55" s="221"/>
      <c r="Q55" s="221"/>
      <c r="R55" s="221"/>
      <c r="S55" s="143"/>
      <c r="T55" s="145"/>
    </row>
    <row r="56" spans="1:20" x14ac:dyDescent="0.25">
      <c r="A56" s="236"/>
      <c r="B56" s="236"/>
      <c r="C56" s="223"/>
      <c r="D56" s="222"/>
      <c r="E56" s="222"/>
      <c r="F56" s="222"/>
      <c r="G56" s="222"/>
      <c r="H56" s="222"/>
      <c r="I56" s="222"/>
      <c r="J56" s="222"/>
      <c r="K56" s="222"/>
      <c r="L56" s="224"/>
      <c r="M56" s="223"/>
      <c r="N56" s="236"/>
      <c r="O56" s="236"/>
      <c r="P56" s="236"/>
      <c r="Q56" s="236"/>
      <c r="R56" s="236"/>
      <c r="S56" s="143"/>
      <c r="T56" s="145"/>
    </row>
    <row r="57" spans="1:20" x14ac:dyDescent="0.25">
      <c r="A57" s="221"/>
      <c r="B57" s="221"/>
      <c r="C57" s="223"/>
      <c r="D57" s="222"/>
      <c r="E57" s="222"/>
      <c r="F57" s="222"/>
      <c r="G57" s="222"/>
      <c r="H57" s="222"/>
      <c r="I57" s="223"/>
      <c r="J57" s="222"/>
      <c r="K57" s="222"/>
      <c r="L57" s="224"/>
      <c r="M57" s="223"/>
      <c r="N57" s="221"/>
      <c r="O57" s="221"/>
      <c r="P57" s="221"/>
      <c r="Q57" s="221"/>
      <c r="R57" s="221"/>
      <c r="S57" s="143"/>
      <c r="T57" s="145"/>
    </row>
    <row r="58" spans="1:20" x14ac:dyDescent="0.25">
      <c r="A58" s="236"/>
      <c r="B58" s="236"/>
      <c r="C58" s="223"/>
      <c r="D58" s="222"/>
      <c r="E58" s="222"/>
      <c r="F58" s="222"/>
      <c r="G58" s="222"/>
      <c r="H58" s="222"/>
      <c r="I58" s="222"/>
      <c r="J58" s="222"/>
      <c r="K58" s="222"/>
      <c r="L58" s="224"/>
      <c r="M58" s="223"/>
      <c r="N58" s="236"/>
      <c r="O58" s="236"/>
      <c r="P58" s="236"/>
      <c r="Q58" s="236"/>
      <c r="R58" s="236"/>
      <c r="S58" s="143"/>
      <c r="T58" s="145"/>
    </row>
    <row r="59" spans="1:20" x14ac:dyDescent="0.25">
      <c r="A59" s="221"/>
      <c r="B59" s="221"/>
      <c r="C59" s="223"/>
      <c r="D59" s="222"/>
      <c r="E59" s="222"/>
      <c r="F59" s="222"/>
      <c r="G59" s="222"/>
      <c r="H59" s="222"/>
      <c r="I59" s="223"/>
      <c r="J59" s="222"/>
      <c r="K59" s="222"/>
      <c r="L59" s="224"/>
      <c r="M59" s="223"/>
      <c r="N59" s="221"/>
      <c r="O59" s="221"/>
      <c r="P59" s="221"/>
      <c r="Q59" s="221"/>
      <c r="R59" s="221"/>
      <c r="S59" s="143"/>
      <c r="T59" s="145"/>
    </row>
    <row r="60" spans="1:20" x14ac:dyDescent="0.25">
      <c r="A60" s="236"/>
      <c r="B60" s="236"/>
      <c r="C60" s="223"/>
      <c r="D60" s="222"/>
      <c r="E60" s="222"/>
      <c r="F60" s="222"/>
      <c r="G60" s="222"/>
      <c r="H60" s="222"/>
      <c r="I60" s="222"/>
      <c r="J60" s="222"/>
      <c r="K60" s="222"/>
      <c r="L60" s="224"/>
      <c r="M60" s="223"/>
      <c r="N60" s="236"/>
      <c r="O60" s="236"/>
      <c r="P60" s="236"/>
      <c r="Q60" s="236"/>
      <c r="R60" s="236"/>
      <c r="S60" s="143"/>
      <c r="T60" s="145"/>
    </row>
    <row r="61" spans="1:20" x14ac:dyDescent="0.25">
      <c r="A61" s="221"/>
      <c r="B61" s="221"/>
      <c r="C61" s="223"/>
      <c r="D61" s="222"/>
      <c r="E61" s="222"/>
      <c r="F61" s="222"/>
      <c r="G61" s="222"/>
      <c r="H61" s="222"/>
      <c r="I61" s="223"/>
      <c r="J61" s="222"/>
      <c r="K61" s="222"/>
      <c r="L61" s="224"/>
      <c r="M61" s="223"/>
      <c r="N61" s="221"/>
      <c r="O61" s="221"/>
      <c r="P61" s="221"/>
      <c r="Q61" s="221"/>
      <c r="R61" s="221"/>
      <c r="S61" s="143"/>
      <c r="T61" s="145"/>
    </row>
    <row r="62" spans="1:20" x14ac:dyDescent="0.25">
      <c r="A62" s="236"/>
      <c r="B62" s="236"/>
      <c r="C62" s="223"/>
      <c r="D62" s="222"/>
      <c r="E62" s="222"/>
      <c r="F62" s="222"/>
      <c r="G62" s="222"/>
      <c r="H62" s="222"/>
      <c r="I62" s="222"/>
      <c r="J62" s="222"/>
      <c r="K62" s="222"/>
      <c r="L62" s="224"/>
      <c r="M62" s="223"/>
      <c r="N62" s="236"/>
      <c r="O62" s="236"/>
      <c r="P62" s="236"/>
      <c r="Q62" s="236"/>
      <c r="R62" s="236"/>
      <c r="S62" s="143"/>
      <c r="T62" s="145"/>
    </row>
    <row r="63" spans="1:20" x14ac:dyDescent="0.25">
      <c r="A63" s="221"/>
      <c r="B63" s="221"/>
      <c r="C63" s="223"/>
      <c r="D63" s="222"/>
      <c r="E63" s="222"/>
      <c r="F63" s="222"/>
      <c r="G63" s="222"/>
      <c r="H63" s="222"/>
      <c r="I63" s="223"/>
      <c r="J63" s="222"/>
      <c r="K63" s="222"/>
      <c r="L63" s="224"/>
      <c r="M63" s="223"/>
      <c r="N63" s="221"/>
      <c r="O63" s="221"/>
      <c r="P63" s="221"/>
      <c r="Q63" s="221"/>
      <c r="R63" s="221"/>
      <c r="S63" s="143"/>
      <c r="T63" s="145"/>
    </row>
    <row r="64" spans="1:20" x14ac:dyDescent="0.25">
      <c r="A64" s="236"/>
      <c r="B64" s="236"/>
      <c r="C64" s="223"/>
      <c r="D64" s="222"/>
      <c r="E64" s="222"/>
      <c r="F64" s="222"/>
      <c r="G64" s="222"/>
      <c r="H64" s="222"/>
      <c r="I64" s="222"/>
      <c r="J64" s="222"/>
      <c r="K64" s="222"/>
      <c r="L64" s="224"/>
      <c r="M64" s="223"/>
      <c r="N64" s="236"/>
      <c r="O64" s="236"/>
      <c r="P64" s="236"/>
      <c r="Q64" s="236"/>
      <c r="R64" s="236"/>
      <c r="S64" s="143"/>
      <c r="T64" s="145"/>
    </row>
    <row r="65" spans="1:20" x14ac:dyDescent="0.25">
      <c r="A65" s="221"/>
      <c r="B65" s="221"/>
      <c r="C65" s="223"/>
      <c r="D65" s="222"/>
      <c r="E65" s="222"/>
      <c r="F65" s="222"/>
      <c r="G65" s="222"/>
      <c r="H65" s="222"/>
      <c r="I65" s="223"/>
      <c r="J65" s="222"/>
      <c r="K65" s="222"/>
      <c r="L65" s="224"/>
      <c r="M65" s="223"/>
      <c r="N65" s="221"/>
      <c r="O65" s="221"/>
      <c r="P65" s="221"/>
      <c r="Q65" s="221"/>
      <c r="R65" s="221"/>
      <c r="S65" s="143"/>
      <c r="T65" s="145"/>
    </row>
    <row r="66" spans="1:20" x14ac:dyDescent="0.25">
      <c r="A66" s="236"/>
      <c r="B66" s="236"/>
      <c r="C66" s="223"/>
      <c r="D66" s="222"/>
      <c r="E66" s="222"/>
      <c r="F66" s="222"/>
      <c r="G66" s="222"/>
      <c r="H66" s="222"/>
      <c r="I66" s="222"/>
      <c r="J66" s="222"/>
      <c r="K66" s="222"/>
      <c r="L66" s="224"/>
      <c r="M66" s="223"/>
      <c r="N66" s="236"/>
      <c r="O66" s="236"/>
      <c r="P66" s="236"/>
      <c r="Q66" s="236"/>
      <c r="R66" s="236"/>
      <c r="S66" s="143"/>
      <c r="T66" s="145"/>
    </row>
    <row r="67" spans="1:20" x14ac:dyDescent="0.25">
      <c r="A67" s="221"/>
      <c r="B67" s="221"/>
      <c r="C67" s="223"/>
      <c r="D67" s="222"/>
      <c r="E67" s="222"/>
      <c r="F67" s="222"/>
      <c r="G67" s="222"/>
      <c r="H67" s="222"/>
      <c r="I67" s="223"/>
      <c r="J67" s="222"/>
      <c r="K67" s="222"/>
      <c r="L67" s="224"/>
      <c r="M67" s="223"/>
      <c r="N67" s="221"/>
      <c r="O67" s="221"/>
      <c r="P67" s="221"/>
      <c r="Q67" s="221"/>
      <c r="R67" s="221"/>
      <c r="S67" s="143"/>
      <c r="T67" s="145"/>
    </row>
    <row r="68" spans="1:20" x14ac:dyDescent="0.25">
      <c r="A68" s="236"/>
      <c r="B68" s="236"/>
      <c r="C68" s="223"/>
      <c r="D68" s="222"/>
      <c r="E68" s="222"/>
      <c r="F68" s="222"/>
      <c r="G68" s="222"/>
      <c r="H68" s="222"/>
      <c r="I68" s="222"/>
      <c r="J68" s="222"/>
      <c r="K68" s="222"/>
      <c r="L68" s="224"/>
      <c r="M68" s="223"/>
      <c r="N68" s="236"/>
      <c r="O68" s="236"/>
      <c r="P68" s="236"/>
      <c r="Q68" s="236"/>
      <c r="R68" s="236"/>
      <c r="S68" s="143"/>
      <c r="T68" s="145"/>
    </row>
    <row r="69" spans="1:20" x14ac:dyDescent="0.25">
      <c r="A69" s="221"/>
      <c r="B69" s="221"/>
      <c r="C69" s="223"/>
      <c r="D69" s="222"/>
      <c r="E69" s="222"/>
      <c r="F69" s="222"/>
      <c r="G69" s="222"/>
      <c r="H69" s="222"/>
      <c r="I69" s="223"/>
      <c r="J69" s="222"/>
      <c r="K69" s="222"/>
      <c r="L69" s="224"/>
      <c r="M69" s="223"/>
      <c r="N69" s="221"/>
      <c r="O69" s="221"/>
      <c r="P69" s="221"/>
      <c r="Q69" s="221"/>
      <c r="R69" s="221"/>
      <c r="S69" s="143"/>
      <c r="T69" s="145"/>
    </row>
    <row r="70" spans="1:20" x14ac:dyDescent="0.25">
      <c r="A70" s="236"/>
      <c r="B70" s="236"/>
      <c r="C70" s="223"/>
      <c r="D70" s="222"/>
      <c r="E70" s="222"/>
      <c r="F70" s="222"/>
      <c r="G70" s="222"/>
      <c r="H70" s="222"/>
      <c r="I70" s="222"/>
      <c r="J70" s="222"/>
      <c r="K70" s="222"/>
      <c r="L70" s="224"/>
      <c r="M70" s="223"/>
      <c r="N70" s="236"/>
      <c r="O70" s="236"/>
      <c r="P70" s="236"/>
      <c r="Q70" s="236"/>
      <c r="R70" s="236"/>
      <c r="S70" s="143"/>
      <c r="T70" s="145"/>
    </row>
    <row r="71" spans="1:20" x14ac:dyDescent="0.25">
      <c r="A71" s="236"/>
      <c r="B71" s="236"/>
      <c r="C71" s="237"/>
      <c r="D71" s="238"/>
      <c r="E71" s="238"/>
      <c r="F71" s="238"/>
      <c r="G71" s="238"/>
      <c r="H71" s="238"/>
      <c r="I71" s="237"/>
      <c r="J71" s="238"/>
      <c r="K71" s="238"/>
      <c r="L71" s="224"/>
      <c r="M71" s="237"/>
      <c r="N71" s="236"/>
      <c r="O71" s="236"/>
      <c r="P71" s="236"/>
      <c r="Q71" s="236"/>
      <c r="R71" s="236"/>
      <c r="S71" s="143"/>
      <c r="T71" s="145"/>
    </row>
    <row r="72" spans="1:20" x14ac:dyDescent="0.25">
      <c r="A72" s="236"/>
      <c r="B72" s="236"/>
      <c r="C72" s="223"/>
      <c r="D72" s="222"/>
      <c r="E72" s="222"/>
      <c r="F72" s="222"/>
      <c r="G72" s="222"/>
      <c r="H72" s="222"/>
      <c r="I72" s="222"/>
      <c r="J72" s="222"/>
      <c r="K72" s="222"/>
      <c r="L72" s="224"/>
      <c r="M72" s="223"/>
      <c r="N72" s="236"/>
      <c r="O72" s="236"/>
      <c r="P72" s="236"/>
      <c r="Q72" s="236"/>
      <c r="R72" s="236"/>
      <c r="S72" s="143"/>
      <c r="T72" s="145"/>
    </row>
    <row r="73" spans="1:20" x14ac:dyDescent="0.25">
      <c r="A73" s="236"/>
      <c r="B73" s="236"/>
      <c r="C73" s="237"/>
      <c r="D73" s="238"/>
      <c r="E73" s="238"/>
      <c r="F73" s="238"/>
      <c r="G73" s="238"/>
      <c r="H73" s="238"/>
      <c r="I73" s="237"/>
      <c r="J73" s="238"/>
      <c r="K73" s="238"/>
      <c r="L73" s="224"/>
      <c r="M73" s="237"/>
      <c r="N73" s="236"/>
      <c r="O73" s="236"/>
      <c r="P73" s="236"/>
      <c r="Q73" s="236"/>
      <c r="R73" s="236"/>
      <c r="S73" s="143"/>
      <c r="T73" s="145"/>
    </row>
    <row r="74" spans="1:20" x14ac:dyDescent="0.25">
      <c r="A74" s="236"/>
      <c r="B74" s="236"/>
      <c r="C74" s="237"/>
      <c r="D74" s="238"/>
      <c r="E74" s="238"/>
      <c r="F74" s="238"/>
      <c r="G74" s="238"/>
      <c r="H74" s="238"/>
      <c r="I74" s="237"/>
      <c r="J74" s="238"/>
      <c r="K74" s="238"/>
      <c r="L74" s="224"/>
      <c r="M74" s="237"/>
      <c r="N74" s="236"/>
      <c r="O74" s="236"/>
      <c r="P74" s="236"/>
      <c r="Q74" s="236"/>
      <c r="R74" s="236"/>
      <c r="S74" s="143"/>
      <c r="T74" s="145"/>
    </row>
    <row r="75" spans="1:20" x14ac:dyDescent="0.25">
      <c r="A75" s="236"/>
      <c r="B75" s="236"/>
      <c r="C75" s="223"/>
      <c r="D75" s="222"/>
      <c r="E75" s="222"/>
      <c r="F75" s="222"/>
      <c r="G75" s="222"/>
      <c r="H75" s="222"/>
      <c r="I75" s="222"/>
      <c r="J75" s="222"/>
      <c r="K75" s="222"/>
      <c r="L75" s="224"/>
      <c r="M75" s="223"/>
      <c r="N75" s="236"/>
      <c r="O75" s="236"/>
      <c r="P75" s="236"/>
      <c r="Q75" s="236"/>
      <c r="R75" s="236"/>
      <c r="S75" s="143"/>
      <c r="T75" s="145"/>
    </row>
    <row r="76" spans="1:20" x14ac:dyDescent="0.25">
      <c r="A76" s="236"/>
      <c r="B76" s="236"/>
      <c r="C76" s="237"/>
      <c r="D76" s="238"/>
      <c r="E76" s="238"/>
      <c r="F76" s="238"/>
      <c r="G76" s="238"/>
      <c r="H76" s="238"/>
      <c r="I76" s="237"/>
      <c r="J76" s="238"/>
      <c r="K76" s="238"/>
      <c r="L76" s="224"/>
      <c r="M76" s="237"/>
      <c r="N76" s="236"/>
      <c r="O76" s="236"/>
      <c r="P76" s="236"/>
      <c r="Q76" s="236"/>
      <c r="R76" s="236"/>
      <c r="S76" s="143"/>
      <c r="T76" s="145"/>
    </row>
    <row r="77" spans="1:20" x14ac:dyDescent="0.25">
      <c r="A77" s="236"/>
      <c r="B77" s="236"/>
      <c r="C77" s="237"/>
      <c r="D77" s="238"/>
      <c r="E77" s="238"/>
      <c r="F77" s="238"/>
      <c r="G77" s="238"/>
      <c r="H77" s="238"/>
      <c r="I77" s="237"/>
      <c r="J77" s="238"/>
      <c r="K77" s="238"/>
      <c r="L77" s="224"/>
      <c r="M77" s="237"/>
      <c r="N77" s="236"/>
      <c r="O77" s="236"/>
      <c r="P77" s="236"/>
      <c r="Q77" s="236"/>
      <c r="R77" s="236"/>
      <c r="S77" s="143"/>
      <c r="T77" s="145"/>
    </row>
    <row r="78" spans="1:20" x14ac:dyDescent="0.25">
      <c r="A78" s="236"/>
      <c r="B78" s="236"/>
      <c r="C78" s="223"/>
      <c r="D78" s="222"/>
      <c r="E78" s="222"/>
      <c r="F78" s="222"/>
      <c r="G78" s="222"/>
      <c r="H78" s="222"/>
      <c r="I78" s="222"/>
      <c r="J78" s="222"/>
      <c r="K78" s="222"/>
      <c r="L78" s="224"/>
      <c r="M78" s="223"/>
      <c r="N78" s="236"/>
      <c r="O78" s="236"/>
      <c r="P78" s="236"/>
      <c r="Q78" s="236"/>
      <c r="R78" s="236"/>
      <c r="S78" s="143"/>
      <c r="T78" s="145"/>
    </row>
    <row r="79" spans="1:20" x14ac:dyDescent="0.25">
      <c r="A79" s="236"/>
      <c r="B79" s="236"/>
      <c r="C79" s="237"/>
      <c r="D79" s="238"/>
      <c r="E79" s="238"/>
      <c r="F79" s="238"/>
      <c r="G79" s="238"/>
      <c r="H79" s="238"/>
      <c r="I79" s="237"/>
      <c r="J79" s="238"/>
      <c r="K79" s="238"/>
      <c r="L79" s="224"/>
      <c r="M79" s="237"/>
      <c r="N79" s="236"/>
      <c r="O79" s="236"/>
      <c r="P79" s="236"/>
      <c r="Q79" s="236"/>
      <c r="R79" s="236"/>
      <c r="S79" s="143"/>
      <c r="T79" s="145"/>
    </row>
    <row r="80" spans="1:20" x14ac:dyDescent="0.25">
      <c r="A80" s="236"/>
      <c r="B80" s="236"/>
      <c r="C80" s="237"/>
      <c r="D80" s="238"/>
      <c r="E80" s="238"/>
      <c r="F80" s="238"/>
      <c r="G80" s="238"/>
      <c r="H80" s="238"/>
      <c r="I80" s="237"/>
      <c r="J80" s="238"/>
      <c r="K80" s="238"/>
      <c r="L80" s="224"/>
      <c r="M80" s="237"/>
      <c r="N80" s="236"/>
      <c r="O80" s="236"/>
      <c r="P80" s="236"/>
      <c r="Q80" s="236"/>
      <c r="R80" s="236"/>
      <c r="S80" s="143"/>
      <c r="T80" s="145"/>
    </row>
    <row r="81" spans="1:20" x14ac:dyDescent="0.25">
      <c r="A81" s="236"/>
      <c r="B81" s="236"/>
      <c r="C81" s="223"/>
      <c r="D81" s="222"/>
      <c r="E81" s="222"/>
      <c r="F81" s="222"/>
      <c r="G81" s="222"/>
      <c r="H81" s="222"/>
      <c r="I81" s="222"/>
      <c r="J81" s="222"/>
      <c r="K81" s="222"/>
      <c r="L81" s="224"/>
      <c r="M81" s="223"/>
      <c r="N81" s="236"/>
      <c r="O81" s="236"/>
      <c r="P81" s="236"/>
      <c r="Q81" s="236"/>
      <c r="R81" s="236"/>
      <c r="S81" s="143"/>
      <c r="T81" s="145"/>
    </row>
    <row r="82" spans="1:20" x14ac:dyDescent="0.25">
      <c r="A82" s="236"/>
      <c r="B82" s="236"/>
      <c r="C82" s="237"/>
      <c r="D82" s="238"/>
      <c r="E82" s="238"/>
      <c r="F82" s="238"/>
      <c r="G82" s="238"/>
      <c r="H82" s="238"/>
      <c r="I82" s="237"/>
      <c r="J82" s="238"/>
      <c r="K82" s="238"/>
      <c r="L82" s="224"/>
      <c r="M82" s="237"/>
      <c r="N82" s="236"/>
      <c r="O82" s="236"/>
      <c r="P82" s="236"/>
      <c r="Q82" s="236"/>
      <c r="R82" s="236"/>
      <c r="S82" s="143"/>
      <c r="T82" s="145"/>
    </row>
    <row r="83" spans="1:20" x14ac:dyDescent="0.25">
      <c r="A83" s="236"/>
      <c r="B83" s="236"/>
      <c r="C83" s="237"/>
      <c r="D83" s="238"/>
      <c r="E83" s="238"/>
      <c r="F83" s="238"/>
      <c r="G83" s="238"/>
      <c r="H83" s="238"/>
      <c r="I83" s="237"/>
      <c r="J83" s="238"/>
      <c r="K83" s="238"/>
      <c r="L83" s="224"/>
      <c r="M83" s="237"/>
      <c r="N83" s="236"/>
      <c r="O83" s="236"/>
      <c r="P83" s="236"/>
      <c r="Q83" s="236"/>
      <c r="R83" s="236"/>
      <c r="S83" s="143"/>
      <c r="T83" s="145"/>
    </row>
    <row r="84" spans="1:20" x14ac:dyDescent="0.25">
      <c r="A84" s="236"/>
      <c r="B84" s="236"/>
      <c r="C84" s="223"/>
      <c r="D84" s="222"/>
      <c r="E84" s="222"/>
      <c r="F84" s="222"/>
      <c r="G84" s="222"/>
      <c r="H84" s="222"/>
      <c r="I84" s="222"/>
      <c r="J84" s="222"/>
      <c r="K84" s="222"/>
      <c r="L84" s="224"/>
      <c r="M84" s="223"/>
      <c r="N84" s="236"/>
      <c r="O84" s="236"/>
      <c r="P84" s="236"/>
      <c r="Q84" s="236"/>
      <c r="R84" s="236"/>
      <c r="S84" s="143"/>
      <c r="T84" s="145"/>
    </row>
    <row r="85" spans="1:20" x14ac:dyDescent="0.25">
      <c r="A85" s="236"/>
      <c r="B85" s="236"/>
      <c r="C85" s="237"/>
      <c r="D85" s="238"/>
      <c r="E85" s="238"/>
      <c r="F85" s="238"/>
      <c r="G85" s="238"/>
      <c r="H85" s="238"/>
      <c r="I85" s="237"/>
      <c r="J85" s="238"/>
      <c r="K85" s="238"/>
      <c r="L85" s="224"/>
      <c r="M85" s="237"/>
      <c r="N85" s="236"/>
      <c r="O85" s="236"/>
      <c r="P85" s="236"/>
      <c r="Q85" s="236"/>
      <c r="R85" s="236"/>
      <c r="S85" s="143"/>
      <c r="T85" s="145"/>
    </row>
    <row r="86" spans="1:20" x14ac:dyDescent="0.25">
      <c r="A86" s="236"/>
      <c r="B86" s="236"/>
      <c r="C86" s="237"/>
      <c r="D86" s="238"/>
      <c r="E86" s="238"/>
      <c r="F86" s="238"/>
      <c r="G86" s="238"/>
      <c r="H86" s="238"/>
      <c r="I86" s="237"/>
      <c r="J86" s="238"/>
      <c r="K86" s="238"/>
      <c r="L86" s="224"/>
      <c r="M86" s="237"/>
      <c r="N86" s="236"/>
      <c r="O86" s="236"/>
      <c r="P86" s="236"/>
      <c r="Q86" s="236"/>
      <c r="R86" s="236"/>
      <c r="S86" s="143"/>
      <c r="T86" s="145"/>
    </row>
    <row r="87" spans="1:20" x14ac:dyDescent="0.25">
      <c r="A87" s="236"/>
      <c r="B87" s="236"/>
      <c r="C87" s="223"/>
      <c r="D87" s="222"/>
      <c r="E87" s="222"/>
      <c r="F87" s="222"/>
      <c r="G87" s="222"/>
      <c r="H87" s="222"/>
      <c r="I87" s="222"/>
      <c r="J87" s="222"/>
      <c r="K87" s="222"/>
      <c r="L87" s="224"/>
      <c r="M87" s="223"/>
      <c r="N87" s="236"/>
      <c r="O87" s="236"/>
      <c r="P87" s="236"/>
      <c r="Q87" s="236"/>
      <c r="R87" s="236"/>
      <c r="S87" s="143"/>
      <c r="T87" s="145"/>
    </row>
    <row r="88" spans="1:20" x14ac:dyDescent="0.25">
      <c r="A88" s="236"/>
      <c r="B88" s="236"/>
      <c r="C88" s="237"/>
      <c r="D88" s="238"/>
      <c r="E88" s="238"/>
      <c r="F88" s="238"/>
      <c r="G88" s="238"/>
      <c r="H88" s="238"/>
      <c r="I88" s="237"/>
      <c r="J88" s="238"/>
      <c r="K88" s="238"/>
      <c r="L88" s="224"/>
      <c r="M88" s="237"/>
      <c r="N88" s="236"/>
      <c r="O88" s="236"/>
      <c r="P88" s="236"/>
      <c r="Q88" s="236"/>
      <c r="R88" s="236"/>
      <c r="S88" s="143"/>
      <c r="T88" s="145"/>
    </row>
    <row r="89" spans="1:20" x14ac:dyDescent="0.25">
      <c r="A89" s="234"/>
      <c r="B89" s="218"/>
      <c r="C89" s="219"/>
      <c r="D89" s="219"/>
      <c r="E89" s="219"/>
      <c r="F89" s="219"/>
      <c r="G89" s="219"/>
      <c r="H89" s="219"/>
      <c r="I89" s="219"/>
      <c r="J89" s="235"/>
      <c r="K89" s="219"/>
      <c r="L89" s="220"/>
      <c r="M89" s="219"/>
      <c r="N89" s="218"/>
      <c r="O89" s="218"/>
      <c r="P89" s="218"/>
      <c r="Q89" s="218"/>
      <c r="R89" s="218"/>
      <c r="S89" s="143"/>
      <c r="T89" s="145"/>
    </row>
    <row r="90" spans="1:20" x14ac:dyDescent="0.25">
      <c r="A90" s="234"/>
      <c r="B90" s="218"/>
      <c r="C90" s="219"/>
      <c r="D90" s="218"/>
      <c r="E90" s="219"/>
      <c r="F90" s="219"/>
      <c r="G90" s="219"/>
      <c r="H90" s="219"/>
      <c r="I90" s="219"/>
      <c r="J90" s="219"/>
      <c r="K90" s="219"/>
      <c r="L90" s="220"/>
      <c r="M90" s="219"/>
      <c r="N90" s="218"/>
      <c r="O90" s="218"/>
      <c r="P90" s="218"/>
      <c r="Q90" s="218"/>
      <c r="R90" s="218"/>
      <c r="S90" s="143"/>
      <c r="T90" s="145"/>
    </row>
    <row r="91" spans="1:20" x14ac:dyDescent="0.25">
      <c r="A91" s="234"/>
      <c r="B91" s="234"/>
      <c r="C91" s="219"/>
      <c r="D91" s="218"/>
      <c r="E91" s="218"/>
      <c r="F91" s="218"/>
      <c r="G91" s="218"/>
      <c r="H91" s="218"/>
      <c r="I91" s="218"/>
      <c r="J91" s="218"/>
      <c r="K91" s="218"/>
      <c r="L91" s="220"/>
      <c r="M91" s="219"/>
      <c r="N91" s="234"/>
      <c r="O91" s="234"/>
      <c r="P91" s="234"/>
      <c r="Q91" s="234"/>
      <c r="R91" s="234"/>
      <c r="S91" s="143"/>
      <c r="T91" s="145"/>
    </row>
    <row r="92" spans="1:20" x14ac:dyDescent="0.25">
      <c r="A92" s="239"/>
      <c r="B92" s="239"/>
      <c r="C92" s="240"/>
      <c r="D92" s="241"/>
      <c r="E92" s="241"/>
      <c r="F92" s="241"/>
      <c r="G92" s="241"/>
      <c r="H92" s="241"/>
      <c r="I92" s="240"/>
      <c r="J92" s="241"/>
      <c r="K92" s="241"/>
      <c r="L92" s="220"/>
      <c r="M92" s="240"/>
      <c r="N92" s="239"/>
      <c r="O92" s="239"/>
      <c r="P92" s="239"/>
      <c r="Q92" s="239"/>
      <c r="R92" s="239"/>
      <c r="S92" s="143"/>
      <c r="T92" s="145"/>
    </row>
    <row r="93" spans="1:20" x14ac:dyDescent="0.25">
      <c r="A93" s="242"/>
      <c r="B93" s="242"/>
      <c r="C93" s="212"/>
      <c r="D93" s="211"/>
      <c r="E93" s="211"/>
      <c r="F93" s="211"/>
      <c r="G93" s="211"/>
      <c r="H93" s="211"/>
      <c r="I93" s="211"/>
      <c r="J93" s="211"/>
      <c r="K93" s="211"/>
      <c r="L93" s="213"/>
      <c r="M93" s="212"/>
      <c r="N93" s="242"/>
      <c r="O93" s="242"/>
      <c r="P93" s="242"/>
      <c r="Q93" s="242"/>
      <c r="R93" s="242"/>
      <c r="S93" s="143"/>
      <c r="T93" s="145"/>
    </row>
    <row r="94" spans="1:20" x14ac:dyDescent="0.25">
      <c r="A94" s="242"/>
      <c r="B94" s="242"/>
      <c r="C94" s="243"/>
      <c r="D94" s="244"/>
      <c r="E94" s="244"/>
      <c r="F94" s="244"/>
      <c r="G94" s="244"/>
      <c r="H94" s="244"/>
      <c r="I94" s="243"/>
      <c r="J94" s="244"/>
      <c r="K94" s="244"/>
      <c r="L94" s="213"/>
      <c r="M94" s="243"/>
      <c r="N94" s="242"/>
      <c r="O94" s="242"/>
      <c r="P94" s="242"/>
      <c r="Q94" s="242"/>
      <c r="R94" s="242"/>
      <c r="S94" s="143"/>
      <c r="T94" s="145"/>
    </row>
    <row r="95" spans="1:20" x14ac:dyDescent="0.25">
      <c r="A95" s="63"/>
      <c r="B95" s="63"/>
      <c r="C95" s="191"/>
      <c r="D95" s="190"/>
      <c r="E95" s="190"/>
      <c r="F95" s="190"/>
      <c r="G95" s="190"/>
      <c r="H95" s="190"/>
      <c r="I95" s="191"/>
      <c r="J95" s="190"/>
      <c r="K95" s="190"/>
      <c r="L95" s="140">
        <f t="shared" ref="L95:L96" si="1">SUM(A95:K95)</f>
        <v>0</v>
      </c>
      <c r="M95" s="191"/>
      <c r="N95" s="63"/>
      <c r="O95" s="63"/>
      <c r="P95" s="63"/>
      <c r="Q95" s="63"/>
      <c r="R95" s="63"/>
      <c r="S95" s="143"/>
      <c r="T95" s="145"/>
    </row>
    <row r="96" spans="1:20" x14ac:dyDescent="0.25">
      <c r="A96" s="63"/>
      <c r="B96" s="63"/>
      <c r="C96" s="193"/>
      <c r="D96" s="192"/>
      <c r="E96" s="192"/>
      <c r="F96" s="192"/>
      <c r="G96" s="192"/>
      <c r="H96" s="192"/>
      <c r="I96" s="192"/>
      <c r="J96" s="192"/>
      <c r="K96" s="192"/>
      <c r="L96" s="140">
        <f t="shared" si="1"/>
        <v>0</v>
      </c>
      <c r="M96" s="193"/>
      <c r="N96" s="63"/>
      <c r="O96" s="63"/>
      <c r="P96" s="63"/>
      <c r="Q96" s="63"/>
      <c r="R96" s="63"/>
      <c r="S96" s="143"/>
      <c r="T96" s="145"/>
    </row>
    <row r="97" spans="1:20" x14ac:dyDescent="0.25">
      <c r="A97" s="63"/>
      <c r="B97" s="63"/>
      <c r="C97" s="191"/>
      <c r="D97" s="190"/>
      <c r="E97" s="190"/>
      <c r="F97" s="190"/>
      <c r="G97" s="190"/>
      <c r="H97" s="190"/>
      <c r="I97" s="191"/>
      <c r="J97" s="190"/>
      <c r="K97" s="190"/>
      <c r="L97" s="140">
        <f t="shared" ref="L97:L134" si="2">SUM(A97:K97)</f>
        <v>0</v>
      </c>
      <c r="M97" s="191"/>
      <c r="N97" s="63"/>
      <c r="O97" s="63"/>
      <c r="P97" s="63"/>
      <c r="Q97" s="63"/>
      <c r="R97" s="63"/>
      <c r="S97" s="143"/>
      <c r="T97" s="145"/>
    </row>
    <row r="98" spans="1:20" x14ac:dyDescent="0.25">
      <c r="A98" s="63"/>
      <c r="B98" s="63"/>
      <c r="C98" s="191"/>
      <c r="D98" s="190"/>
      <c r="E98" s="190"/>
      <c r="F98" s="190"/>
      <c r="G98" s="190"/>
      <c r="H98" s="190"/>
      <c r="I98" s="191"/>
      <c r="J98" s="190"/>
      <c r="K98" s="190"/>
      <c r="L98" s="140">
        <f t="shared" si="2"/>
        <v>0</v>
      </c>
      <c r="M98" s="191"/>
      <c r="N98" s="63"/>
      <c r="O98" s="63"/>
      <c r="P98" s="63"/>
      <c r="Q98" s="63"/>
      <c r="R98" s="63"/>
      <c r="S98" s="143"/>
      <c r="T98" s="145"/>
    </row>
    <row r="99" spans="1:20" x14ac:dyDescent="0.25">
      <c r="A99" s="63"/>
      <c r="B99" s="63"/>
      <c r="C99" s="193"/>
      <c r="D99" s="192"/>
      <c r="E99" s="192"/>
      <c r="F99" s="192"/>
      <c r="G99" s="192"/>
      <c r="H99" s="192"/>
      <c r="I99" s="192"/>
      <c r="J99" s="192"/>
      <c r="K99" s="192"/>
      <c r="L99" s="140">
        <f t="shared" si="2"/>
        <v>0</v>
      </c>
      <c r="M99" s="193"/>
      <c r="N99" s="63"/>
      <c r="O99" s="63"/>
      <c r="P99" s="63"/>
      <c r="Q99" s="63"/>
      <c r="R99" s="63"/>
      <c r="S99" s="143"/>
      <c r="T99" s="145"/>
    </row>
    <row r="100" spans="1:20" x14ac:dyDescent="0.25">
      <c r="A100" s="63"/>
      <c r="B100" s="63"/>
      <c r="C100" s="191"/>
      <c r="D100" s="190"/>
      <c r="E100" s="190"/>
      <c r="F100" s="190"/>
      <c r="G100" s="190"/>
      <c r="H100" s="190"/>
      <c r="I100" s="191"/>
      <c r="J100" s="190"/>
      <c r="K100" s="190"/>
      <c r="L100" s="140">
        <f t="shared" si="2"/>
        <v>0</v>
      </c>
      <c r="M100" s="191"/>
      <c r="N100" s="63"/>
      <c r="O100" s="63"/>
      <c r="P100" s="63"/>
      <c r="Q100" s="63"/>
      <c r="R100" s="63"/>
      <c r="S100" s="143"/>
      <c r="T100" s="145"/>
    </row>
    <row r="101" spans="1:20" x14ac:dyDescent="0.25">
      <c r="A101" s="63"/>
      <c r="B101" s="63"/>
      <c r="C101" s="191"/>
      <c r="D101" s="190"/>
      <c r="E101" s="190"/>
      <c r="F101" s="190"/>
      <c r="G101" s="190"/>
      <c r="H101" s="190"/>
      <c r="I101" s="191"/>
      <c r="J101" s="190"/>
      <c r="K101" s="190"/>
      <c r="L101" s="140">
        <f t="shared" si="2"/>
        <v>0</v>
      </c>
      <c r="M101" s="191"/>
      <c r="N101" s="63"/>
      <c r="O101" s="63"/>
      <c r="P101" s="63"/>
      <c r="Q101" s="63"/>
      <c r="R101" s="63"/>
      <c r="S101" s="143"/>
      <c r="T101" s="145"/>
    </row>
    <row r="102" spans="1:20" x14ac:dyDescent="0.25">
      <c r="A102" s="63"/>
      <c r="B102" s="63"/>
      <c r="C102" s="193"/>
      <c r="D102" s="192"/>
      <c r="E102" s="192"/>
      <c r="F102" s="192"/>
      <c r="G102" s="192"/>
      <c r="H102" s="192"/>
      <c r="I102" s="192"/>
      <c r="J102" s="192"/>
      <c r="K102" s="192"/>
      <c r="L102" s="140">
        <f t="shared" si="2"/>
        <v>0</v>
      </c>
      <c r="M102" s="193"/>
      <c r="N102" s="63"/>
      <c r="O102" s="63"/>
      <c r="P102" s="63"/>
      <c r="Q102" s="63"/>
      <c r="R102" s="63"/>
      <c r="S102" s="143"/>
      <c r="T102" s="145"/>
    </row>
    <row r="103" spans="1:20" x14ac:dyDescent="0.25">
      <c r="A103" s="63"/>
      <c r="B103" s="63"/>
      <c r="C103" s="192"/>
      <c r="D103" s="192"/>
      <c r="E103" s="192"/>
      <c r="F103" s="192"/>
      <c r="G103" s="192"/>
      <c r="H103" s="192"/>
      <c r="I103" s="192"/>
      <c r="J103" s="192"/>
      <c r="K103" s="192"/>
      <c r="L103" s="140">
        <f t="shared" si="2"/>
        <v>0</v>
      </c>
      <c r="M103" s="193"/>
      <c r="N103" s="63"/>
      <c r="O103" s="63"/>
      <c r="P103" s="63"/>
      <c r="Q103" s="63"/>
      <c r="R103" s="63"/>
      <c r="S103" s="143"/>
      <c r="T103" s="145"/>
    </row>
    <row r="104" spans="1:20" x14ac:dyDescent="0.25">
      <c r="A104" s="63"/>
      <c r="B104" s="63"/>
      <c r="C104" s="192"/>
      <c r="D104" s="192"/>
      <c r="E104" s="192"/>
      <c r="F104" s="192"/>
      <c r="G104" s="192"/>
      <c r="H104" s="192"/>
      <c r="I104" s="192"/>
      <c r="J104" s="192"/>
      <c r="K104" s="192"/>
      <c r="L104" s="140">
        <f t="shared" si="2"/>
        <v>0</v>
      </c>
      <c r="M104" s="193"/>
      <c r="N104" s="63"/>
      <c r="O104" s="63"/>
      <c r="P104" s="63"/>
      <c r="Q104" s="63"/>
      <c r="R104" s="63"/>
      <c r="S104" s="143"/>
      <c r="T104" s="145"/>
    </row>
    <row r="105" spans="1:20" x14ac:dyDescent="0.25">
      <c r="A105" s="63"/>
      <c r="B105" s="63"/>
      <c r="C105" s="192"/>
      <c r="D105" s="192"/>
      <c r="E105" s="192"/>
      <c r="F105" s="192"/>
      <c r="G105" s="192"/>
      <c r="H105" s="192"/>
      <c r="I105" s="192"/>
      <c r="J105" s="192"/>
      <c r="K105" s="192"/>
      <c r="L105" s="140">
        <f t="shared" si="2"/>
        <v>0</v>
      </c>
      <c r="M105" s="193"/>
      <c r="N105" s="63"/>
      <c r="O105" s="63"/>
      <c r="P105" s="63"/>
      <c r="Q105" s="63"/>
      <c r="R105" s="63"/>
      <c r="S105" s="143"/>
      <c r="T105" s="145"/>
    </row>
    <row r="106" spans="1:20" x14ac:dyDescent="0.25">
      <c r="A106" s="63"/>
      <c r="B106" s="63"/>
      <c r="C106" s="192"/>
      <c r="D106" s="192"/>
      <c r="E106" s="192"/>
      <c r="F106" s="192"/>
      <c r="G106" s="192"/>
      <c r="H106" s="192"/>
      <c r="I106" s="192"/>
      <c r="J106" s="192"/>
      <c r="K106" s="192"/>
      <c r="L106" s="140">
        <f t="shared" si="2"/>
        <v>0</v>
      </c>
      <c r="M106" s="193"/>
      <c r="N106" s="63"/>
      <c r="O106" s="63"/>
      <c r="P106" s="63"/>
      <c r="Q106" s="63"/>
      <c r="R106" s="63"/>
      <c r="S106" s="143"/>
      <c r="T106" s="145"/>
    </row>
    <row r="107" spans="1:20" x14ac:dyDescent="0.25">
      <c r="A107" s="63"/>
      <c r="B107" s="63"/>
      <c r="C107" s="192"/>
      <c r="D107" s="192"/>
      <c r="E107" s="192"/>
      <c r="F107" s="192"/>
      <c r="G107" s="192"/>
      <c r="H107" s="192"/>
      <c r="I107" s="192"/>
      <c r="J107" s="192"/>
      <c r="K107" s="192"/>
      <c r="L107" s="140">
        <f t="shared" si="2"/>
        <v>0</v>
      </c>
      <c r="M107" s="193"/>
      <c r="N107" s="63"/>
      <c r="O107" s="63"/>
      <c r="P107" s="63"/>
      <c r="Q107" s="63"/>
      <c r="R107" s="63"/>
      <c r="S107" s="143"/>
      <c r="T107" s="145"/>
    </row>
    <row r="108" spans="1:20" x14ac:dyDescent="0.25">
      <c r="A108" s="63"/>
      <c r="B108" s="63"/>
      <c r="C108" s="192"/>
      <c r="D108" s="192"/>
      <c r="E108" s="192"/>
      <c r="F108" s="192"/>
      <c r="G108" s="192"/>
      <c r="H108" s="192"/>
      <c r="I108" s="192"/>
      <c r="J108" s="192"/>
      <c r="K108" s="192"/>
      <c r="L108" s="140">
        <f t="shared" si="2"/>
        <v>0</v>
      </c>
      <c r="M108" s="193"/>
      <c r="N108" s="63"/>
      <c r="O108" s="63"/>
      <c r="P108" s="63"/>
      <c r="Q108" s="63"/>
      <c r="R108" s="63"/>
      <c r="S108" s="143"/>
      <c r="T108" s="145"/>
    </row>
    <row r="109" spans="1:20" x14ac:dyDescent="0.25">
      <c r="A109" s="63"/>
      <c r="B109" s="63"/>
      <c r="C109" s="192"/>
      <c r="D109" s="192"/>
      <c r="E109" s="192"/>
      <c r="F109" s="192"/>
      <c r="G109" s="192"/>
      <c r="H109" s="192"/>
      <c r="I109" s="192"/>
      <c r="J109" s="192"/>
      <c r="K109" s="192"/>
      <c r="L109" s="140">
        <f t="shared" si="2"/>
        <v>0</v>
      </c>
      <c r="M109" s="193"/>
      <c r="N109" s="63"/>
      <c r="O109" s="63"/>
      <c r="P109" s="63"/>
      <c r="Q109" s="63"/>
      <c r="R109" s="63"/>
      <c r="S109" s="143"/>
      <c r="T109" s="145"/>
    </row>
    <row r="110" spans="1:20" x14ac:dyDescent="0.25">
      <c r="A110" s="63"/>
      <c r="B110" s="63"/>
      <c r="C110" s="192"/>
      <c r="D110" s="192"/>
      <c r="E110" s="192"/>
      <c r="F110" s="192"/>
      <c r="G110" s="192"/>
      <c r="H110" s="192"/>
      <c r="I110" s="192"/>
      <c r="J110" s="192"/>
      <c r="K110" s="192"/>
      <c r="L110" s="140">
        <f t="shared" si="2"/>
        <v>0</v>
      </c>
      <c r="M110" s="193"/>
      <c r="N110" s="63"/>
      <c r="O110" s="63"/>
      <c r="P110" s="63"/>
      <c r="Q110" s="63"/>
      <c r="R110" s="63"/>
      <c r="S110" s="143"/>
      <c r="T110" s="145"/>
    </row>
    <row r="111" spans="1:20" x14ac:dyDescent="0.25">
      <c r="A111" s="63"/>
      <c r="B111" s="63"/>
      <c r="C111" s="192"/>
      <c r="D111" s="192"/>
      <c r="E111" s="192"/>
      <c r="F111" s="192"/>
      <c r="G111" s="192"/>
      <c r="H111" s="192"/>
      <c r="I111" s="192"/>
      <c r="J111" s="192"/>
      <c r="K111" s="192"/>
      <c r="L111" s="140">
        <f t="shared" si="2"/>
        <v>0</v>
      </c>
      <c r="M111" s="193"/>
      <c r="N111" s="63"/>
      <c r="O111" s="63"/>
      <c r="P111" s="63"/>
      <c r="Q111" s="63"/>
      <c r="R111" s="63"/>
      <c r="S111" s="143"/>
      <c r="T111" s="145"/>
    </row>
    <row r="112" spans="1:20" x14ac:dyDescent="0.25">
      <c r="A112" s="63"/>
      <c r="B112" s="63"/>
      <c r="C112" s="192"/>
      <c r="D112" s="192"/>
      <c r="E112" s="192"/>
      <c r="F112" s="192"/>
      <c r="G112" s="192"/>
      <c r="H112" s="192"/>
      <c r="I112" s="192"/>
      <c r="J112" s="192"/>
      <c r="K112" s="192"/>
      <c r="L112" s="140">
        <f t="shared" si="2"/>
        <v>0</v>
      </c>
      <c r="M112" s="193"/>
      <c r="N112" s="63"/>
      <c r="O112" s="63"/>
      <c r="P112" s="63"/>
      <c r="Q112" s="63"/>
      <c r="R112" s="63"/>
      <c r="S112" s="143"/>
      <c r="T112" s="145"/>
    </row>
    <row r="113" spans="1:20" x14ac:dyDescent="0.25">
      <c r="A113" s="63"/>
      <c r="B113" s="63"/>
      <c r="C113" s="192"/>
      <c r="D113" s="192"/>
      <c r="E113" s="192"/>
      <c r="F113" s="192"/>
      <c r="G113" s="192"/>
      <c r="H113" s="192"/>
      <c r="I113" s="192"/>
      <c r="J113" s="192"/>
      <c r="K113" s="192"/>
      <c r="L113" s="140">
        <f t="shared" si="2"/>
        <v>0</v>
      </c>
      <c r="M113" s="193"/>
      <c r="N113" s="63"/>
      <c r="O113" s="63"/>
      <c r="P113" s="63"/>
      <c r="Q113" s="63"/>
      <c r="R113" s="63"/>
      <c r="S113" s="143"/>
      <c r="T113" s="145"/>
    </row>
    <row r="114" spans="1:20" x14ac:dyDescent="0.25">
      <c r="A114" s="63"/>
      <c r="B114" s="63"/>
      <c r="C114" s="192"/>
      <c r="D114" s="192"/>
      <c r="E114" s="192"/>
      <c r="F114" s="192"/>
      <c r="G114" s="192"/>
      <c r="H114" s="192"/>
      <c r="I114" s="192"/>
      <c r="J114" s="192"/>
      <c r="K114" s="192"/>
      <c r="L114" s="140">
        <f t="shared" si="2"/>
        <v>0</v>
      </c>
      <c r="M114" s="193"/>
      <c r="N114" s="63"/>
      <c r="O114" s="63"/>
      <c r="P114" s="63"/>
      <c r="Q114" s="63"/>
      <c r="R114" s="63"/>
      <c r="S114" s="143"/>
      <c r="T114" s="145"/>
    </row>
    <row r="115" spans="1:20" x14ac:dyDescent="0.25">
      <c r="A115" s="63"/>
      <c r="B115" s="63"/>
      <c r="C115" s="192"/>
      <c r="D115" s="192"/>
      <c r="E115" s="192"/>
      <c r="F115" s="192"/>
      <c r="G115" s="192"/>
      <c r="H115" s="192"/>
      <c r="I115" s="192"/>
      <c r="J115" s="192"/>
      <c r="K115" s="192"/>
      <c r="L115" s="140">
        <f t="shared" si="2"/>
        <v>0</v>
      </c>
      <c r="M115" s="193"/>
      <c r="N115" s="63"/>
      <c r="O115" s="63"/>
      <c r="P115" s="63"/>
      <c r="Q115" s="63"/>
      <c r="R115" s="63"/>
      <c r="S115" s="143"/>
      <c r="T115" s="145"/>
    </row>
    <row r="116" spans="1:20" x14ac:dyDescent="0.25">
      <c r="A116" s="63"/>
      <c r="B116" s="63"/>
      <c r="C116" s="192"/>
      <c r="D116" s="192"/>
      <c r="E116" s="192"/>
      <c r="F116" s="192"/>
      <c r="G116" s="192"/>
      <c r="H116" s="192"/>
      <c r="I116" s="192"/>
      <c r="J116" s="192"/>
      <c r="K116" s="192"/>
      <c r="L116" s="140">
        <f t="shared" si="2"/>
        <v>0</v>
      </c>
      <c r="M116" s="193"/>
      <c r="N116" s="63"/>
      <c r="O116" s="63"/>
      <c r="P116" s="63"/>
      <c r="Q116" s="63"/>
      <c r="R116" s="63"/>
      <c r="S116" s="143"/>
      <c r="T116" s="145"/>
    </row>
    <row r="117" spans="1:20" x14ac:dyDescent="0.25">
      <c r="A117" s="63"/>
      <c r="B117" s="63"/>
      <c r="C117" s="192"/>
      <c r="D117" s="192"/>
      <c r="E117" s="192"/>
      <c r="F117" s="192"/>
      <c r="G117" s="192"/>
      <c r="H117" s="192"/>
      <c r="I117" s="192"/>
      <c r="J117" s="192"/>
      <c r="K117" s="192"/>
      <c r="L117" s="140">
        <f t="shared" si="2"/>
        <v>0</v>
      </c>
      <c r="M117" s="193"/>
      <c r="N117" s="63"/>
      <c r="O117" s="63"/>
      <c r="P117" s="63"/>
      <c r="Q117" s="63"/>
      <c r="R117" s="63"/>
      <c r="S117" s="143"/>
      <c r="T117" s="145"/>
    </row>
    <row r="118" spans="1:20" x14ac:dyDescent="0.25">
      <c r="A118" s="63"/>
      <c r="B118" s="63"/>
      <c r="C118" s="192"/>
      <c r="D118" s="192"/>
      <c r="E118" s="192"/>
      <c r="F118" s="192"/>
      <c r="G118" s="192"/>
      <c r="H118" s="192"/>
      <c r="I118" s="192"/>
      <c r="J118" s="192"/>
      <c r="K118" s="192"/>
      <c r="L118" s="140">
        <f t="shared" si="2"/>
        <v>0</v>
      </c>
      <c r="M118" s="193"/>
      <c r="N118" s="63"/>
      <c r="O118" s="63"/>
      <c r="P118" s="63"/>
      <c r="Q118" s="63"/>
      <c r="R118" s="63"/>
      <c r="S118" s="143"/>
      <c r="T118" s="145"/>
    </row>
    <row r="119" spans="1:20" x14ac:dyDescent="0.25">
      <c r="A119" s="63"/>
      <c r="B119" s="63"/>
      <c r="C119" s="192"/>
      <c r="D119" s="192"/>
      <c r="E119" s="192"/>
      <c r="F119" s="192"/>
      <c r="G119" s="192"/>
      <c r="H119" s="192"/>
      <c r="I119" s="192"/>
      <c r="J119" s="192"/>
      <c r="K119" s="192"/>
      <c r="L119" s="140">
        <f t="shared" si="2"/>
        <v>0</v>
      </c>
      <c r="M119" s="193"/>
      <c r="N119" s="63"/>
      <c r="O119" s="63"/>
      <c r="P119" s="63"/>
      <c r="Q119" s="63"/>
      <c r="R119" s="63"/>
      <c r="S119" s="143"/>
      <c r="T119" s="145"/>
    </row>
    <row r="120" spans="1:20" x14ac:dyDescent="0.25">
      <c r="A120" s="63"/>
      <c r="B120" s="63"/>
      <c r="C120" s="192"/>
      <c r="D120" s="192"/>
      <c r="E120" s="192"/>
      <c r="F120" s="192"/>
      <c r="G120" s="192"/>
      <c r="H120" s="192"/>
      <c r="I120" s="192"/>
      <c r="J120" s="192"/>
      <c r="K120" s="192"/>
      <c r="L120" s="140">
        <f t="shared" si="2"/>
        <v>0</v>
      </c>
      <c r="M120" s="193"/>
      <c r="N120" s="63"/>
      <c r="O120" s="63"/>
      <c r="P120" s="63"/>
      <c r="Q120" s="63"/>
      <c r="R120" s="63"/>
      <c r="S120" s="143"/>
      <c r="T120" s="145"/>
    </row>
    <row r="121" spans="1:20" x14ac:dyDescent="0.25">
      <c r="A121" s="63"/>
      <c r="B121" s="63"/>
      <c r="C121" s="192"/>
      <c r="D121" s="192"/>
      <c r="E121" s="192"/>
      <c r="F121" s="192"/>
      <c r="G121" s="192"/>
      <c r="H121" s="192"/>
      <c r="I121" s="192"/>
      <c r="J121" s="192"/>
      <c r="K121" s="192"/>
      <c r="L121" s="140">
        <f t="shared" si="2"/>
        <v>0</v>
      </c>
      <c r="M121" s="193"/>
      <c r="N121" s="63"/>
      <c r="O121" s="63"/>
      <c r="P121" s="63"/>
      <c r="Q121" s="63"/>
      <c r="R121" s="63"/>
      <c r="S121" s="143"/>
      <c r="T121" s="145"/>
    </row>
    <row r="122" spans="1:20" x14ac:dyDescent="0.25">
      <c r="A122" s="63"/>
      <c r="B122" s="63"/>
      <c r="C122" s="192"/>
      <c r="D122" s="192"/>
      <c r="E122" s="192"/>
      <c r="F122" s="192"/>
      <c r="G122" s="192"/>
      <c r="H122" s="192"/>
      <c r="I122" s="192"/>
      <c r="J122" s="192"/>
      <c r="K122" s="192"/>
      <c r="L122" s="140">
        <f t="shared" si="2"/>
        <v>0</v>
      </c>
      <c r="M122" s="193"/>
      <c r="N122" s="63"/>
      <c r="O122" s="63"/>
      <c r="P122" s="63"/>
      <c r="Q122" s="63"/>
      <c r="R122" s="63"/>
      <c r="S122" s="143"/>
      <c r="T122" s="145"/>
    </row>
    <row r="123" spans="1:20" x14ac:dyDescent="0.25">
      <c r="A123" s="63"/>
      <c r="B123" s="63"/>
      <c r="C123" s="192"/>
      <c r="D123" s="192"/>
      <c r="E123" s="192"/>
      <c r="F123" s="192"/>
      <c r="G123" s="192"/>
      <c r="H123" s="192"/>
      <c r="I123" s="192"/>
      <c r="J123" s="192"/>
      <c r="K123" s="192"/>
      <c r="L123" s="140">
        <f t="shared" si="2"/>
        <v>0</v>
      </c>
      <c r="M123" s="193"/>
      <c r="N123" s="63"/>
      <c r="O123" s="63"/>
      <c r="P123" s="63"/>
      <c r="Q123" s="63"/>
      <c r="R123" s="63"/>
      <c r="S123" s="143"/>
      <c r="T123" s="145"/>
    </row>
    <row r="124" spans="1:20" x14ac:dyDescent="0.25">
      <c r="A124" s="63"/>
      <c r="B124" s="63"/>
      <c r="C124" s="192"/>
      <c r="D124" s="192"/>
      <c r="E124" s="192"/>
      <c r="F124" s="192"/>
      <c r="G124" s="192"/>
      <c r="H124" s="192"/>
      <c r="I124" s="192"/>
      <c r="J124" s="192"/>
      <c r="K124" s="192"/>
      <c r="L124" s="140">
        <f t="shared" si="2"/>
        <v>0</v>
      </c>
      <c r="M124" s="193"/>
      <c r="N124" s="63"/>
      <c r="O124" s="63"/>
      <c r="P124" s="63"/>
      <c r="Q124" s="63"/>
      <c r="R124" s="63"/>
      <c r="S124" s="143"/>
      <c r="T124" s="145"/>
    </row>
    <row r="125" spans="1:20" x14ac:dyDescent="0.25">
      <c r="A125" s="63"/>
      <c r="B125" s="63"/>
      <c r="C125" s="192"/>
      <c r="D125" s="192"/>
      <c r="E125" s="192"/>
      <c r="F125" s="192"/>
      <c r="G125" s="192"/>
      <c r="H125" s="192"/>
      <c r="I125" s="192"/>
      <c r="J125" s="192"/>
      <c r="K125" s="192"/>
      <c r="L125" s="140">
        <f t="shared" si="2"/>
        <v>0</v>
      </c>
      <c r="M125" s="193"/>
      <c r="N125" s="63"/>
      <c r="O125" s="63"/>
      <c r="P125" s="63"/>
      <c r="Q125" s="63"/>
      <c r="R125" s="63"/>
      <c r="S125" s="143"/>
      <c r="T125" s="145"/>
    </row>
    <row r="126" spans="1:20" x14ac:dyDescent="0.25">
      <c r="A126" s="63"/>
      <c r="B126" s="63"/>
      <c r="C126" s="192"/>
      <c r="D126" s="192"/>
      <c r="E126" s="192"/>
      <c r="F126" s="192"/>
      <c r="G126" s="192"/>
      <c r="H126" s="192"/>
      <c r="I126" s="192"/>
      <c r="J126" s="192"/>
      <c r="K126" s="192"/>
      <c r="L126" s="140">
        <f t="shared" si="2"/>
        <v>0</v>
      </c>
      <c r="M126" s="193"/>
      <c r="N126" s="63"/>
      <c r="O126" s="63"/>
      <c r="P126" s="63"/>
      <c r="Q126" s="63"/>
      <c r="R126" s="63"/>
      <c r="S126" s="143"/>
      <c r="T126" s="145"/>
    </row>
    <row r="127" spans="1:20" x14ac:dyDescent="0.25">
      <c r="A127" s="63"/>
      <c r="B127" s="63"/>
      <c r="C127" s="192"/>
      <c r="D127" s="192"/>
      <c r="E127" s="192"/>
      <c r="F127" s="192"/>
      <c r="G127" s="192"/>
      <c r="H127" s="192"/>
      <c r="I127" s="192"/>
      <c r="J127" s="192"/>
      <c r="K127" s="192"/>
      <c r="L127" s="140">
        <f t="shared" si="2"/>
        <v>0</v>
      </c>
      <c r="M127" s="193"/>
      <c r="N127" s="63"/>
      <c r="O127" s="63"/>
      <c r="P127" s="63"/>
      <c r="Q127" s="63"/>
      <c r="R127" s="63"/>
      <c r="S127" s="143"/>
      <c r="T127" s="145"/>
    </row>
    <row r="128" spans="1:20" x14ac:dyDescent="0.25">
      <c r="A128" s="63"/>
      <c r="B128" s="63"/>
      <c r="C128" s="192"/>
      <c r="D128" s="192"/>
      <c r="E128" s="192"/>
      <c r="F128" s="192"/>
      <c r="G128" s="192"/>
      <c r="H128" s="192"/>
      <c r="I128" s="192"/>
      <c r="J128" s="192"/>
      <c r="K128" s="192"/>
      <c r="L128" s="140">
        <f t="shared" si="2"/>
        <v>0</v>
      </c>
      <c r="M128" s="193"/>
      <c r="N128" s="63"/>
      <c r="O128" s="63"/>
      <c r="P128" s="63"/>
      <c r="Q128" s="63"/>
      <c r="R128" s="63"/>
      <c r="S128" s="143"/>
      <c r="T128" s="145"/>
    </row>
    <row r="129" spans="1:20" x14ac:dyDescent="0.25">
      <c r="A129" s="63"/>
      <c r="B129" s="63"/>
      <c r="C129" s="192"/>
      <c r="D129" s="192"/>
      <c r="E129" s="192"/>
      <c r="F129" s="192"/>
      <c r="G129" s="192"/>
      <c r="H129" s="192"/>
      <c r="I129" s="192"/>
      <c r="J129" s="192"/>
      <c r="K129" s="192"/>
      <c r="L129" s="140">
        <f t="shared" si="2"/>
        <v>0</v>
      </c>
      <c r="M129" s="193"/>
      <c r="N129" s="63"/>
      <c r="O129" s="63"/>
      <c r="P129" s="63"/>
      <c r="Q129" s="63"/>
      <c r="R129" s="63"/>
      <c r="S129" s="143"/>
      <c r="T129" s="145"/>
    </row>
    <row r="130" spans="1:20" x14ac:dyDescent="0.25">
      <c r="A130" s="63"/>
      <c r="B130" s="63"/>
      <c r="C130" s="192"/>
      <c r="D130" s="192"/>
      <c r="E130" s="192"/>
      <c r="F130" s="192"/>
      <c r="G130" s="192"/>
      <c r="H130" s="192"/>
      <c r="I130" s="192"/>
      <c r="J130" s="192"/>
      <c r="K130" s="192"/>
      <c r="L130" s="140">
        <f t="shared" si="2"/>
        <v>0</v>
      </c>
      <c r="M130" s="193"/>
      <c r="N130" s="63"/>
      <c r="O130" s="63"/>
      <c r="P130" s="63"/>
      <c r="Q130" s="63"/>
      <c r="R130" s="63"/>
      <c r="S130" s="143"/>
      <c r="T130" s="145"/>
    </row>
    <row r="131" spans="1:20" x14ac:dyDescent="0.25">
      <c r="A131" s="63"/>
      <c r="B131" s="63"/>
      <c r="C131" s="192"/>
      <c r="D131" s="192"/>
      <c r="E131" s="192"/>
      <c r="F131" s="192"/>
      <c r="G131" s="192"/>
      <c r="H131" s="192"/>
      <c r="I131" s="192"/>
      <c r="J131" s="192"/>
      <c r="K131" s="192"/>
      <c r="L131" s="140">
        <f t="shared" si="2"/>
        <v>0</v>
      </c>
      <c r="M131" s="193"/>
      <c r="N131" s="63"/>
      <c r="O131" s="63"/>
      <c r="P131" s="63"/>
      <c r="Q131" s="63"/>
      <c r="R131" s="63"/>
      <c r="S131" s="143"/>
      <c r="T131" s="145"/>
    </row>
    <row r="132" spans="1:20" x14ac:dyDescent="0.25">
      <c r="A132" s="63"/>
      <c r="B132" s="63"/>
      <c r="C132" s="192"/>
      <c r="D132" s="192"/>
      <c r="E132" s="192"/>
      <c r="F132" s="192"/>
      <c r="G132" s="192"/>
      <c r="H132" s="192"/>
      <c r="I132" s="192"/>
      <c r="J132" s="192"/>
      <c r="K132" s="192"/>
      <c r="L132" s="140">
        <f t="shared" si="2"/>
        <v>0</v>
      </c>
      <c r="M132" s="193"/>
      <c r="N132" s="63"/>
      <c r="O132" s="63"/>
      <c r="P132" s="63"/>
      <c r="Q132" s="63"/>
      <c r="R132" s="63"/>
      <c r="S132" s="143"/>
      <c r="T132" s="145"/>
    </row>
    <row r="133" spans="1:20" x14ac:dyDescent="0.25">
      <c r="A133" s="63"/>
      <c r="B133" s="63"/>
      <c r="C133" s="192"/>
      <c r="D133" s="192"/>
      <c r="E133" s="192"/>
      <c r="F133" s="192"/>
      <c r="G133" s="192"/>
      <c r="H133" s="192"/>
      <c r="I133" s="192"/>
      <c r="J133" s="192"/>
      <c r="K133" s="192"/>
      <c r="L133" s="140">
        <f t="shared" si="2"/>
        <v>0</v>
      </c>
      <c r="M133" s="193"/>
      <c r="N133" s="63"/>
      <c r="O133" s="63"/>
      <c r="P133" s="63"/>
      <c r="Q133" s="63"/>
      <c r="R133" s="63"/>
      <c r="S133" s="143"/>
      <c r="T133" s="145"/>
    </row>
    <row r="134" spans="1:20" x14ac:dyDescent="0.25">
      <c r="A134" s="63"/>
      <c r="B134" s="63"/>
      <c r="C134" s="192"/>
      <c r="D134" s="192"/>
      <c r="E134" s="192"/>
      <c r="F134" s="192"/>
      <c r="G134" s="192"/>
      <c r="H134" s="192"/>
      <c r="I134" s="192"/>
      <c r="J134" s="192"/>
      <c r="K134" s="192"/>
      <c r="L134" s="140">
        <f t="shared" si="2"/>
        <v>0</v>
      </c>
      <c r="M134" s="193"/>
      <c r="N134" s="63"/>
      <c r="O134" s="63"/>
      <c r="P134" s="63"/>
      <c r="Q134" s="63"/>
      <c r="R134" s="63"/>
      <c r="S134" s="143"/>
      <c r="T134" s="145"/>
    </row>
    <row r="135" spans="1:20" x14ac:dyDescent="0.25">
      <c r="A135" s="63"/>
      <c r="B135" s="63"/>
      <c r="C135" s="192"/>
      <c r="D135" s="192"/>
      <c r="E135" s="192"/>
      <c r="F135" s="192"/>
      <c r="G135" s="192"/>
      <c r="H135" s="192"/>
      <c r="I135" s="192"/>
      <c r="J135" s="192"/>
      <c r="K135" s="192"/>
      <c r="L135" s="140">
        <f t="shared" ref="L135:L170" si="3">SUM(A135:K135)</f>
        <v>0</v>
      </c>
      <c r="M135" s="193"/>
      <c r="N135" s="63"/>
      <c r="O135" s="63"/>
      <c r="P135" s="63"/>
      <c r="Q135" s="63"/>
      <c r="R135" s="63"/>
      <c r="S135" s="143"/>
      <c r="T135" s="145"/>
    </row>
    <row r="136" spans="1:20" x14ac:dyDescent="0.25">
      <c r="A136" s="63"/>
      <c r="B136" s="63"/>
      <c r="C136" s="192"/>
      <c r="D136" s="192"/>
      <c r="E136" s="192"/>
      <c r="F136" s="192"/>
      <c r="G136" s="192"/>
      <c r="H136" s="192"/>
      <c r="I136" s="192"/>
      <c r="J136" s="192"/>
      <c r="K136" s="192"/>
      <c r="L136" s="140">
        <f t="shared" si="3"/>
        <v>0</v>
      </c>
      <c r="M136" s="193"/>
      <c r="N136" s="63"/>
      <c r="O136" s="63"/>
      <c r="P136" s="63"/>
      <c r="Q136" s="63"/>
      <c r="R136" s="63"/>
      <c r="S136" s="143"/>
      <c r="T136" s="145"/>
    </row>
    <row r="137" spans="1:20" x14ac:dyDescent="0.25">
      <c r="A137" s="63"/>
      <c r="B137" s="63"/>
      <c r="C137" s="192"/>
      <c r="D137" s="192"/>
      <c r="E137" s="192"/>
      <c r="F137" s="192"/>
      <c r="G137" s="192"/>
      <c r="H137" s="192"/>
      <c r="I137" s="192"/>
      <c r="J137" s="192"/>
      <c r="K137" s="192"/>
      <c r="L137" s="140">
        <f t="shared" si="3"/>
        <v>0</v>
      </c>
      <c r="M137" s="193"/>
      <c r="N137" s="63"/>
      <c r="O137" s="63"/>
      <c r="P137" s="63"/>
      <c r="Q137" s="63"/>
      <c r="R137" s="63"/>
      <c r="S137" s="143"/>
      <c r="T137" s="145"/>
    </row>
    <row r="138" spans="1:20" x14ac:dyDescent="0.25">
      <c r="A138" s="63"/>
      <c r="B138" s="63"/>
      <c r="C138" s="63"/>
      <c r="D138" s="192"/>
      <c r="E138" s="192"/>
      <c r="F138" s="192"/>
      <c r="G138" s="63"/>
      <c r="H138" s="63"/>
      <c r="I138" s="63"/>
      <c r="J138" s="63"/>
      <c r="K138" s="63"/>
      <c r="L138" s="140">
        <f t="shared" si="3"/>
        <v>0</v>
      </c>
      <c r="M138" s="62"/>
      <c r="N138" s="63"/>
      <c r="O138" s="63"/>
      <c r="P138" s="63"/>
      <c r="Q138" s="63"/>
      <c r="R138" s="63"/>
      <c r="S138" s="143"/>
      <c r="T138" s="145"/>
    </row>
    <row r="139" spans="1:20" x14ac:dyDescent="0.25">
      <c r="A139" s="63"/>
      <c r="B139" s="63"/>
      <c r="C139" s="63"/>
      <c r="D139" s="192"/>
      <c r="E139" s="192"/>
      <c r="F139" s="192"/>
      <c r="G139" s="63"/>
      <c r="H139" s="63"/>
      <c r="I139" s="63"/>
      <c r="J139" s="63"/>
      <c r="K139" s="63"/>
      <c r="L139" s="140">
        <f t="shared" si="3"/>
        <v>0</v>
      </c>
      <c r="M139" s="62"/>
      <c r="N139" s="63"/>
      <c r="O139" s="63"/>
      <c r="P139" s="63"/>
      <c r="Q139" s="63"/>
      <c r="R139" s="63"/>
      <c r="S139" s="143"/>
      <c r="T139" s="145"/>
    </row>
    <row r="140" spans="1:20" x14ac:dyDescent="0.25">
      <c r="A140" s="63"/>
      <c r="B140" s="63"/>
      <c r="C140" s="63"/>
      <c r="D140" s="192"/>
      <c r="E140" s="192"/>
      <c r="F140" s="192"/>
      <c r="G140" s="63"/>
      <c r="H140" s="63"/>
      <c r="I140" s="63"/>
      <c r="J140" s="63"/>
      <c r="K140" s="63"/>
      <c r="L140" s="140">
        <f t="shared" si="3"/>
        <v>0</v>
      </c>
      <c r="M140" s="62"/>
      <c r="N140" s="63"/>
      <c r="O140" s="63"/>
      <c r="P140" s="63"/>
      <c r="Q140" s="63"/>
      <c r="R140" s="63"/>
      <c r="S140" s="143"/>
      <c r="T140" s="145"/>
    </row>
    <row r="141" spans="1:20" x14ac:dyDescent="0.25">
      <c r="A141" s="63"/>
      <c r="B141" s="63"/>
      <c r="C141" s="63"/>
      <c r="D141" s="192"/>
      <c r="E141" s="192"/>
      <c r="F141" s="192"/>
      <c r="G141" s="63"/>
      <c r="H141" s="63"/>
      <c r="I141" s="63"/>
      <c r="J141" s="63"/>
      <c r="K141" s="63"/>
      <c r="L141" s="140">
        <f t="shared" si="3"/>
        <v>0</v>
      </c>
      <c r="M141" s="62"/>
      <c r="N141" s="63"/>
      <c r="O141" s="63"/>
      <c r="P141" s="63"/>
      <c r="Q141" s="63"/>
      <c r="R141" s="63"/>
      <c r="S141" s="143"/>
      <c r="T141" s="145"/>
    </row>
    <row r="142" spans="1:20" x14ac:dyDescent="0.25">
      <c r="A142" s="63"/>
      <c r="B142" s="63"/>
      <c r="C142" s="63"/>
      <c r="D142" s="192"/>
      <c r="E142" s="192"/>
      <c r="F142" s="192"/>
      <c r="G142" s="63"/>
      <c r="H142" s="63"/>
      <c r="I142" s="63"/>
      <c r="J142" s="63"/>
      <c r="K142" s="63"/>
      <c r="L142" s="140">
        <f t="shared" si="3"/>
        <v>0</v>
      </c>
      <c r="M142" s="62"/>
      <c r="N142" s="63"/>
      <c r="O142" s="63"/>
      <c r="P142" s="63"/>
      <c r="Q142" s="63"/>
      <c r="R142" s="63"/>
      <c r="S142" s="143"/>
      <c r="T142" s="145"/>
    </row>
    <row r="143" spans="1:20" x14ac:dyDescent="0.25">
      <c r="A143" s="63"/>
      <c r="B143" s="63"/>
      <c r="C143" s="63"/>
      <c r="D143" s="192"/>
      <c r="E143" s="192"/>
      <c r="F143" s="192"/>
      <c r="G143" s="63"/>
      <c r="H143" s="63"/>
      <c r="I143" s="63"/>
      <c r="J143" s="63"/>
      <c r="K143" s="63"/>
      <c r="L143" s="140">
        <f t="shared" si="3"/>
        <v>0</v>
      </c>
      <c r="M143" s="62"/>
      <c r="N143" s="63"/>
      <c r="O143" s="63"/>
      <c r="P143" s="63"/>
      <c r="Q143" s="63"/>
      <c r="R143" s="63"/>
      <c r="S143" s="143"/>
      <c r="T143" s="145"/>
    </row>
    <row r="144" spans="1:20" x14ac:dyDescent="0.25">
      <c r="A144" s="63"/>
      <c r="B144" s="63"/>
      <c r="C144" s="63"/>
      <c r="D144" s="192"/>
      <c r="E144" s="192"/>
      <c r="F144" s="192"/>
      <c r="G144" s="63"/>
      <c r="H144" s="63"/>
      <c r="I144" s="63"/>
      <c r="J144" s="63"/>
      <c r="K144" s="63"/>
      <c r="L144" s="140">
        <f t="shared" si="3"/>
        <v>0</v>
      </c>
      <c r="M144" s="62"/>
      <c r="N144" s="63"/>
      <c r="O144" s="63"/>
      <c r="P144" s="63"/>
      <c r="Q144" s="63"/>
      <c r="R144" s="63"/>
      <c r="S144" s="143"/>
      <c r="T144" s="145"/>
    </row>
    <row r="145" spans="1:20" x14ac:dyDescent="0.25">
      <c r="A145" s="63"/>
      <c r="B145" s="63"/>
      <c r="C145" s="63"/>
      <c r="D145" s="192"/>
      <c r="E145" s="192"/>
      <c r="F145" s="192"/>
      <c r="G145" s="63"/>
      <c r="H145" s="63"/>
      <c r="I145" s="63"/>
      <c r="J145" s="63"/>
      <c r="K145" s="63"/>
      <c r="L145" s="140">
        <f t="shared" si="3"/>
        <v>0</v>
      </c>
      <c r="M145" s="62"/>
      <c r="N145" s="63"/>
      <c r="O145" s="63"/>
      <c r="P145" s="63"/>
      <c r="Q145" s="63"/>
      <c r="R145" s="63"/>
      <c r="S145" s="143"/>
      <c r="T145" s="145"/>
    </row>
    <row r="146" spans="1:20" x14ac:dyDescent="0.25">
      <c r="A146" s="63"/>
      <c r="B146" s="63"/>
      <c r="C146" s="63"/>
      <c r="D146" s="192"/>
      <c r="E146" s="192"/>
      <c r="F146" s="192"/>
      <c r="G146" s="63"/>
      <c r="H146" s="63"/>
      <c r="I146" s="63"/>
      <c r="J146" s="63"/>
      <c r="K146" s="63"/>
      <c r="L146" s="140">
        <f t="shared" si="3"/>
        <v>0</v>
      </c>
      <c r="M146" s="62"/>
      <c r="N146" s="63"/>
      <c r="O146" s="63"/>
      <c r="P146" s="63"/>
      <c r="Q146" s="63"/>
      <c r="R146" s="63"/>
      <c r="S146" s="143"/>
      <c r="T146" s="145"/>
    </row>
    <row r="147" spans="1:20" x14ac:dyDescent="0.25">
      <c r="A147" s="63"/>
      <c r="B147" s="63"/>
      <c r="C147" s="63"/>
      <c r="D147" s="192"/>
      <c r="E147" s="192"/>
      <c r="F147" s="192"/>
      <c r="G147" s="63"/>
      <c r="H147" s="63"/>
      <c r="I147" s="63"/>
      <c r="J147" s="63"/>
      <c r="K147" s="63"/>
      <c r="L147" s="140">
        <f t="shared" si="3"/>
        <v>0</v>
      </c>
      <c r="M147" s="62"/>
      <c r="N147" s="63"/>
      <c r="O147" s="63"/>
      <c r="P147" s="63"/>
      <c r="Q147" s="63"/>
      <c r="R147" s="63"/>
      <c r="S147" s="143"/>
      <c r="T147" s="145"/>
    </row>
    <row r="148" spans="1:20" x14ac:dyDescent="0.25">
      <c r="A148" s="63"/>
      <c r="B148" s="63"/>
      <c r="C148" s="63"/>
      <c r="D148" s="192"/>
      <c r="E148" s="192"/>
      <c r="F148" s="192"/>
      <c r="G148" s="63"/>
      <c r="H148" s="63"/>
      <c r="I148" s="63"/>
      <c r="J148" s="63"/>
      <c r="K148" s="63"/>
      <c r="L148" s="140">
        <f t="shared" si="3"/>
        <v>0</v>
      </c>
      <c r="M148" s="62"/>
      <c r="N148" s="63"/>
      <c r="O148" s="63"/>
      <c r="P148" s="63"/>
      <c r="Q148" s="63"/>
      <c r="R148" s="63"/>
      <c r="S148" s="143"/>
      <c r="T148" s="145"/>
    </row>
    <row r="149" spans="1:20" x14ac:dyDescent="0.25">
      <c r="A149" s="63"/>
      <c r="B149" s="63"/>
      <c r="C149" s="63"/>
      <c r="D149" s="192"/>
      <c r="E149" s="192"/>
      <c r="F149" s="192"/>
      <c r="G149" s="63"/>
      <c r="H149" s="63"/>
      <c r="I149" s="63"/>
      <c r="J149" s="63"/>
      <c r="K149" s="63"/>
      <c r="L149" s="140">
        <f t="shared" si="3"/>
        <v>0</v>
      </c>
      <c r="M149" s="62"/>
      <c r="N149" s="63"/>
      <c r="O149" s="63"/>
      <c r="P149" s="63"/>
      <c r="Q149" s="63"/>
      <c r="R149" s="63"/>
      <c r="S149" s="143"/>
      <c r="T149" s="145"/>
    </row>
    <row r="150" spans="1:20" x14ac:dyDescent="0.25">
      <c r="A150" s="63"/>
      <c r="B150" s="63"/>
      <c r="C150" s="63"/>
      <c r="D150" s="192"/>
      <c r="E150" s="192"/>
      <c r="F150" s="192"/>
      <c r="G150" s="63"/>
      <c r="H150" s="63"/>
      <c r="I150" s="63"/>
      <c r="J150" s="63"/>
      <c r="K150" s="63"/>
      <c r="L150" s="140">
        <f t="shared" si="3"/>
        <v>0</v>
      </c>
      <c r="M150" s="62"/>
      <c r="N150" s="63"/>
      <c r="O150" s="63"/>
      <c r="P150" s="63"/>
      <c r="Q150" s="63"/>
      <c r="R150" s="63"/>
      <c r="S150" s="143"/>
      <c r="T150" s="145"/>
    </row>
    <row r="151" spans="1:20" x14ac:dyDescent="0.25">
      <c r="A151" s="63"/>
      <c r="B151" s="63"/>
      <c r="C151" s="63"/>
      <c r="D151" s="192"/>
      <c r="E151" s="192"/>
      <c r="F151" s="192"/>
      <c r="G151" s="63"/>
      <c r="H151" s="63"/>
      <c r="I151" s="63"/>
      <c r="J151" s="63"/>
      <c r="K151" s="63"/>
      <c r="L151" s="140">
        <f t="shared" si="3"/>
        <v>0</v>
      </c>
      <c r="M151" s="62"/>
      <c r="N151" s="63"/>
      <c r="O151" s="63"/>
      <c r="P151" s="63"/>
      <c r="Q151" s="63"/>
      <c r="R151" s="63"/>
      <c r="S151" s="143"/>
      <c r="T151" s="145"/>
    </row>
    <row r="152" spans="1:20" x14ac:dyDescent="0.25">
      <c r="A152" s="63"/>
      <c r="B152" s="63"/>
      <c r="C152" s="63"/>
      <c r="D152" s="192"/>
      <c r="E152" s="192"/>
      <c r="F152" s="192"/>
      <c r="G152" s="63"/>
      <c r="H152" s="63"/>
      <c r="I152" s="63"/>
      <c r="J152" s="63"/>
      <c r="K152" s="63"/>
      <c r="L152" s="140">
        <f t="shared" si="3"/>
        <v>0</v>
      </c>
      <c r="M152" s="62"/>
      <c r="N152" s="63"/>
      <c r="O152" s="63"/>
      <c r="P152" s="63"/>
      <c r="Q152" s="63"/>
      <c r="R152" s="63"/>
      <c r="S152" s="143"/>
      <c r="T152" s="145"/>
    </row>
    <row r="153" spans="1:20" x14ac:dyDescent="0.25">
      <c r="A153" s="63"/>
      <c r="B153" s="63"/>
      <c r="C153" s="63"/>
      <c r="D153" s="192"/>
      <c r="E153" s="192"/>
      <c r="F153" s="192"/>
      <c r="G153" s="63"/>
      <c r="H153" s="63"/>
      <c r="I153" s="63"/>
      <c r="J153" s="63"/>
      <c r="K153" s="63"/>
      <c r="L153" s="140">
        <f t="shared" si="3"/>
        <v>0</v>
      </c>
      <c r="M153" s="62"/>
      <c r="N153" s="63"/>
      <c r="O153" s="63"/>
      <c r="P153" s="63"/>
      <c r="Q153" s="63"/>
      <c r="R153" s="63"/>
      <c r="S153" s="143"/>
      <c r="T153" s="145"/>
    </row>
    <row r="154" spans="1:20" x14ac:dyDescent="0.25">
      <c r="A154" s="63"/>
      <c r="B154" s="63"/>
      <c r="C154" s="63"/>
      <c r="D154" s="192"/>
      <c r="E154" s="192"/>
      <c r="F154" s="192"/>
      <c r="G154" s="63"/>
      <c r="H154" s="63"/>
      <c r="I154" s="63"/>
      <c r="J154" s="63"/>
      <c r="K154" s="63"/>
      <c r="L154" s="140">
        <f t="shared" si="3"/>
        <v>0</v>
      </c>
      <c r="M154" s="62"/>
      <c r="N154" s="63"/>
      <c r="O154" s="63"/>
      <c r="P154" s="63"/>
      <c r="Q154" s="63"/>
      <c r="R154" s="63"/>
      <c r="S154" s="143"/>
      <c r="T154" s="145"/>
    </row>
    <row r="155" spans="1:20" x14ac:dyDescent="0.25">
      <c r="A155" s="63"/>
      <c r="B155" s="63"/>
      <c r="C155" s="63"/>
      <c r="D155" s="192"/>
      <c r="E155" s="192"/>
      <c r="F155" s="192"/>
      <c r="G155" s="63"/>
      <c r="H155" s="63"/>
      <c r="I155" s="63"/>
      <c r="J155" s="63"/>
      <c r="K155" s="63"/>
      <c r="L155" s="140">
        <f t="shared" si="3"/>
        <v>0</v>
      </c>
      <c r="M155" s="62"/>
      <c r="N155" s="63"/>
      <c r="O155" s="63"/>
      <c r="P155" s="63"/>
      <c r="Q155" s="63"/>
      <c r="R155" s="63"/>
      <c r="S155" s="143"/>
      <c r="T155" s="145"/>
    </row>
    <row r="156" spans="1:20" x14ac:dyDescent="0.25">
      <c r="A156" s="63"/>
      <c r="B156" s="63"/>
      <c r="C156" s="63"/>
      <c r="D156" s="192"/>
      <c r="E156" s="192"/>
      <c r="F156" s="192"/>
      <c r="G156" s="63"/>
      <c r="H156" s="63"/>
      <c r="I156" s="63"/>
      <c r="J156" s="63"/>
      <c r="K156" s="63"/>
      <c r="L156" s="140">
        <f t="shared" si="3"/>
        <v>0</v>
      </c>
      <c r="M156" s="62"/>
      <c r="N156" s="63"/>
      <c r="O156" s="63"/>
      <c r="P156" s="63"/>
      <c r="Q156" s="63"/>
      <c r="R156" s="63"/>
      <c r="S156" s="143"/>
      <c r="T156" s="145"/>
    </row>
    <row r="157" spans="1:20" x14ac:dyDescent="0.25">
      <c r="A157" s="63"/>
      <c r="B157" s="63"/>
      <c r="C157" s="63"/>
      <c r="D157" s="192"/>
      <c r="E157" s="192"/>
      <c r="F157" s="192"/>
      <c r="G157" s="63"/>
      <c r="H157" s="63"/>
      <c r="I157" s="63"/>
      <c r="J157" s="63"/>
      <c r="K157" s="63"/>
      <c r="L157" s="140">
        <f t="shared" si="3"/>
        <v>0</v>
      </c>
      <c r="M157" s="62"/>
      <c r="N157" s="63"/>
      <c r="O157" s="63"/>
      <c r="P157" s="63"/>
      <c r="Q157" s="63"/>
      <c r="R157" s="63"/>
      <c r="S157" s="143"/>
      <c r="T157" s="145"/>
    </row>
    <row r="158" spans="1:20" x14ac:dyDescent="0.25">
      <c r="A158" s="63"/>
      <c r="B158" s="63"/>
      <c r="C158" s="63"/>
      <c r="D158" s="192"/>
      <c r="E158" s="192"/>
      <c r="F158" s="192"/>
      <c r="G158" s="63"/>
      <c r="H158" s="63"/>
      <c r="I158" s="63"/>
      <c r="J158" s="63"/>
      <c r="K158" s="63"/>
      <c r="L158" s="140">
        <f t="shared" si="3"/>
        <v>0</v>
      </c>
      <c r="M158" s="62"/>
      <c r="N158" s="63"/>
      <c r="O158" s="63"/>
      <c r="P158" s="63"/>
      <c r="Q158" s="63"/>
      <c r="R158" s="63"/>
      <c r="S158" s="143"/>
      <c r="T158" s="145"/>
    </row>
    <row r="159" spans="1:20" x14ac:dyDescent="0.25">
      <c r="A159" s="63"/>
      <c r="B159" s="63"/>
      <c r="C159" s="63"/>
      <c r="D159" s="192"/>
      <c r="E159" s="192"/>
      <c r="F159" s="192"/>
      <c r="G159" s="63"/>
      <c r="H159" s="63"/>
      <c r="I159" s="63"/>
      <c r="J159" s="63"/>
      <c r="K159" s="63"/>
      <c r="L159" s="140">
        <f t="shared" si="3"/>
        <v>0</v>
      </c>
      <c r="M159" s="62"/>
      <c r="N159" s="63"/>
      <c r="O159" s="63"/>
      <c r="P159" s="63"/>
      <c r="Q159" s="63"/>
      <c r="R159" s="63"/>
      <c r="S159" s="143"/>
      <c r="T159" s="145"/>
    </row>
    <row r="160" spans="1:20" x14ac:dyDescent="0.25">
      <c r="A160" s="63"/>
      <c r="B160" s="63"/>
      <c r="C160" s="63"/>
      <c r="D160" s="192"/>
      <c r="E160" s="192"/>
      <c r="F160" s="192"/>
      <c r="G160" s="63"/>
      <c r="H160" s="63"/>
      <c r="I160" s="63"/>
      <c r="J160" s="63"/>
      <c r="K160" s="63"/>
      <c r="L160" s="140">
        <f t="shared" si="3"/>
        <v>0</v>
      </c>
      <c r="M160" s="62"/>
      <c r="N160" s="63"/>
      <c r="O160" s="63"/>
      <c r="P160" s="63"/>
      <c r="Q160" s="63"/>
      <c r="R160" s="63"/>
      <c r="S160" s="143"/>
      <c r="T160" s="145"/>
    </row>
    <row r="161" spans="1:20" x14ac:dyDescent="0.25">
      <c r="A161" s="63"/>
      <c r="B161" s="63"/>
      <c r="C161" s="63"/>
      <c r="D161" s="192"/>
      <c r="E161" s="192"/>
      <c r="F161" s="192"/>
      <c r="G161" s="63"/>
      <c r="H161" s="63"/>
      <c r="I161" s="63"/>
      <c r="J161" s="63"/>
      <c r="K161" s="63"/>
      <c r="L161" s="140">
        <f t="shared" si="3"/>
        <v>0</v>
      </c>
      <c r="M161" s="62"/>
      <c r="N161" s="63"/>
      <c r="O161" s="63"/>
      <c r="P161" s="63"/>
      <c r="Q161" s="63"/>
      <c r="R161" s="63"/>
      <c r="S161" s="143"/>
      <c r="T161" s="145"/>
    </row>
    <row r="162" spans="1:20" x14ac:dyDescent="0.25">
      <c r="A162" s="63"/>
      <c r="B162" s="63"/>
      <c r="C162" s="63"/>
      <c r="D162" s="192"/>
      <c r="E162" s="192"/>
      <c r="F162" s="192"/>
      <c r="G162" s="63"/>
      <c r="H162" s="63"/>
      <c r="I162" s="63"/>
      <c r="J162" s="63"/>
      <c r="K162" s="63"/>
      <c r="L162" s="140">
        <f t="shared" si="3"/>
        <v>0</v>
      </c>
      <c r="M162" s="62"/>
      <c r="N162" s="63"/>
      <c r="O162" s="63"/>
      <c r="P162" s="63"/>
      <c r="Q162" s="63"/>
      <c r="R162" s="63"/>
      <c r="S162" s="143"/>
      <c r="T162" s="145"/>
    </row>
    <row r="163" spans="1:20" x14ac:dyDescent="0.25">
      <c r="A163" s="63"/>
      <c r="B163" s="63"/>
      <c r="C163" s="63"/>
      <c r="D163" s="192"/>
      <c r="E163" s="192"/>
      <c r="F163" s="192"/>
      <c r="G163" s="63"/>
      <c r="H163" s="63"/>
      <c r="I163" s="63"/>
      <c r="J163" s="63"/>
      <c r="K163" s="63"/>
      <c r="L163" s="140">
        <f t="shared" si="3"/>
        <v>0</v>
      </c>
      <c r="M163" s="62"/>
      <c r="N163" s="63"/>
      <c r="O163" s="63"/>
      <c r="P163" s="63"/>
      <c r="Q163" s="63"/>
      <c r="R163" s="63"/>
      <c r="S163" s="143"/>
      <c r="T163" s="145"/>
    </row>
    <row r="164" spans="1:20" x14ac:dyDescent="0.25">
      <c r="A164" s="63"/>
      <c r="B164" s="63"/>
      <c r="C164" s="63"/>
      <c r="D164" s="192"/>
      <c r="E164" s="192"/>
      <c r="F164" s="192"/>
      <c r="G164" s="63"/>
      <c r="H164" s="63"/>
      <c r="I164" s="63"/>
      <c r="J164" s="63"/>
      <c r="K164" s="63"/>
      <c r="L164" s="140">
        <f t="shared" si="3"/>
        <v>0</v>
      </c>
      <c r="M164" s="62"/>
      <c r="N164" s="63"/>
      <c r="O164" s="63"/>
      <c r="P164" s="63"/>
      <c r="Q164" s="63"/>
      <c r="R164" s="63"/>
      <c r="S164" s="143"/>
      <c r="T164" s="145"/>
    </row>
    <row r="165" spans="1:20" x14ac:dyDescent="0.25">
      <c r="A165" s="63"/>
      <c r="B165" s="63"/>
      <c r="C165" s="63"/>
      <c r="D165" s="192"/>
      <c r="E165" s="192"/>
      <c r="F165" s="192"/>
      <c r="G165" s="63"/>
      <c r="H165" s="63"/>
      <c r="I165" s="63"/>
      <c r="J165" s="63"/>
      <c r="K165" s="63"/>
      <c r="L165" s="140">
        <f t="shared" si="3"/>
        <v>0</v>
      </c>
      <c r="M165" s="62"/>
      <c r="N165" s="63"/>
      <c r="O165" s="63"/>
      <c r="P165" s="63"/>
      <c r="Q165" s="63"/>
      <c r="R165" s="63"/>
      <c r="S165" s="143"/>
      <c r="T165" s="145"/>
    </row>
    <row r="166" spans="1:20" x14ac:dyDescent="0.25">
      <c r="A166" s="63"/>
      <c r="B166" s="63"/>
      <c r="C166" s="63"/>
      <c r="D166" s="192"/>
      <c r="E166" s="192"/>
      <c r="F166" s="192"/>
      <c r="G166" s="63"/>
      <c r="H166" s="63"/>
      <c r="I166" s="63"/>
      <c r="J166" s="63"/>
      <c r="K166" s="63"/>
      <c r="L166" s="140">
        <f t="shared" si="3"/>
        <v>0</v>
      </c>
      <c r="M166" s="62"/>
      <c r="N166" s="63"/>
      <c r="O166" s="63"/>
      <c r="P166" s="63"/>
      <c r="Q166" s="63"/>
      <c r="R166" s="63"/>
      <c r="S166" s="143"/>
      <c r="T166" s="145"/>
    </row>
    <row r="167" spans="1:20" x14ac:dyDescent="0.25">
      <c r="A167" s="63"/>
      <c r="B167" s="63"/>
      <c r="C167" s="63"/>
      <c r="D167" s="192"/>
      <c r="E167" s="192"/>
      <c r="F167" s="192"/>
      <c r="G167" s="63"/>
      <c r="H167" s="63"/>
      <c r="I167" s="63"/>
      <c r="J167" s="63"/>
      <c r="K167" s="63"/>
      <c r="L167" s="140">
        <f t="shared" si="3"/>
        <v>0</v>
      </c>
      <c r="M167" s="62"/>
      <c r="N167" s="63"/>
      <c r="O167" s="63"/>
      <c r="P167" s="63"/>
      <c r="Q167" s="63"/>
      <c r="R167" s="63"/>
      <c r="S167" s="143"/>
      <c r="T167" s="145"/>
    </row>
    <row r="168" spans="1:20" x14ac:dyDescent="0.25">
      <c r="A168" s="63"/>
      <c r="B168" s="63"/>
      <c r="C168" s="63"/>
      <c r="D168" s="192"/>
      <c r="E168" s="192"/>
      <c r="F168" s="192"/>
      <c r="G168" s="63"/>
      <c r="H168" s="63"/>
      <c r="I168" s="63"/>
      <c r="J168" s="63"/>
      <c r="K168" s="63"/>
      <c r="L168" s="140">
        <f t="shared" si="3"/>
        <v>0</v>
      </c>
      <c r="M168" s="62"/>
      <c r="N168" s="63"/>
      <c r="O168" s="63"/>
      <c r="P168" s="63"/>
      <c r="Q168" s="63"/>
      <c r="R168" s="63"/>
      <c r="S168" s="143"/>
      <c r="T168" s="145"/>
    </row>
    <row r="169" spans="1:20" x14ac:dyDescent="0.25">
      <c r="A169" s="63"/>
      <c r="B169" s="63"/>
      <c r="C169" s="63"/>
      <c r="D169" s="192"/>
      <c r="E169" s="192"/>
      <c r="F169" s="192"/>
      <c r="G169" s="63"/>
      <c r="H169" s="63"/>
      <c r="I169" s="63"/>
      <c r="J169" s="63"/>
      <c r="K169" s="63"/>
      <c r="L169" s="140">
        <f t="shared" si="3"/>
        <v>0</v>
      </c>
      <c r="M169" s="62"/>
      <c r="N169" s="63"/>
      <c r="O169" s="63"/>
      <c r="P169" s="63"/>
      <c r="Q169" s="63"/>
      <c r="R169" s="63"/>
      <c r="S169" s="143"/>
      <c r="T169" s="145"/>
    </row>
    <row r="170" spans="1:20" x14ac:dyDescent="0.25">
      <c r="A170" s="63"/>
      <c r="B170" s="63"/>
      <c r="C170" s="63"/>
      <c r="D170" s="192"/>
      <c r="E170" s="192"/>
      <c r="F170" s="192"/>
      <c r="G170" s="63"/>
      <c r="H170" s="63"/>
      <c r="I170" s="63"/>
      <c r="J170" s="63"/>
      <c r="K170" s="63"/>
      <c r="L170" s="140">
        <f t="shared" si="3"/>
        <v>0</v>
      </c>
      <c r="M170" s="62"/>
      <c r="N170" s="63"/>
      <c r="O170" s="63"/>
      <c r="P170" s="63"/>
      <c r="Q170" s="63"/>
      <c r="R170" s="63"/>
      <c r="S170" s="143"/>
      <c r="T170" s="145"/>
    </row>
    <row r="171" spans="1:20" x14ac:dyDescent="0.25">
      <c r="A171" s="63"/>
      <c r="B171" s="63"/>
      <c r="C171" s="63"/>
      <c r="D171" s="63"/>
      <c r="E171" s="63"/>
      <c r="F171" s="63"/>
      <c r="G171" s="63"/>
      <c r="H171" s="63"/>
      <c r="I171" s="63"/>
      <c r="J171" s="63"/>
      <c r="K171" s="63"/>
      <c r="L171" s="140">
        <f t="shared" ref="L171:L174" si="4">SUM(A171:K171)</f>
        <v>0</v>
      </c>
      <c r="M171" s="62"/>
      <c r="N171" s="63"/>
      <c r="O171" s="63"/>
      <c r="P171" s="63"/>
      <c r="Q171" s="63"/>
      <c r="R171" s="63"/>
      <c r="S171" s="143"/>
      <c r="T171" s="145"/>
    </row>
    <row r="172" spans="1:20" x14ac:dyDescent="0.25">
      <c r="A172" s="63"/>
      <c r="B172" s="63"/>
      <c r="C172" s="63"/>
      <c r="D172" s="63"/>
      <c r="E172" s="63"/>
      <c r="F172" s="63"/>
      <c r="G172" s="63"/>
      <c r="H172" s="63"/>
      <c r="I172" s="63"/>
      <c r="J172" s="63"/>
      <c r="K172" s="63"/>
      <c r="L172" s="140">
        <f t="shared" si="4"/>
        <v>0</v>
      </c>
      <c r="M172" s="62"/>
      <c r="N172" s="63"/>
      <c r="O172" s="63"/>
      <c r="P172" s="63"/>
      <c r="Q172" s="63"/>
      <c r="R172" s="63"/>
      <c r="S172" s="89"/>
    </row>
    <row r="173" spans="1:20" x14ac:dyDescent="0.25">
      <c r="A173" s="63"/>
      <c r="B173" s="63"/>
      <c r="C173" s="63"/>
      <c r="D173" s="63"/>
      <c r="E173" s="63"/>
      <c r="F173" s="63"/>
      <c r="G173" s="63"/>
      <c r="H173" s="63"/>
      <c r="I173" s="63"/>
      <c r="J173" s="63"/>
      <c r="K173" s="63"/>
      <c r="L173" s="140">
        <f t="shared" si="4"/>
        <v>0</v>
      </c>
      <c r="M173" s="62"/>
      <c r="N173" s="63"/>
      <c r="O173" s="63"/>
      <c r="P173" s="63"/>
      <c r="Q173" s="63"/>
      <c r="R173" s="63"/>
      <c r="S173" s="89"/>
    </row>
    <row r="174" spans="1:20" x14ac:dyDescent="0.25">
      <c r="A174" s="63"/>
      <c r="B174" s="63"/>
      <c r="C174" s="63"/>
      <c r="D174" s="63"/>
      <c r="E174" s="63"/>
      <c r="F174" s="63"/>
      <c r="G174" s="63"/>
      <c r="H174" s="63"/>
      <c r="I174" s="63"/>
      <c r="J174" s="63"/>
      <c r="K174" s="63"/>
      <c r="L174" s="140">
        <f t="shared" si="4"/>
        <v>0</v>
      </c>
      <c r="M174" s="62"/>
      <c r="N174" s="63"/>
      <c r="O174" s="63"/>
      <c r="P174" s="63"/>
      <c r="Q174" s="63"/>
      <c r="R174" s="63"/>
      <c r="S174" s="89"/>
    </row>
    <row r="175" spans="1:20" x14ac:dyDescent="0.25">
      <c r="A175" s="64">
        <f>SUM(A4:A174)</f>
        <v>83000</v>
      </c>
      <c r="B175" s="64">
        <f t="shared" ref="B175:R175" si="5">SUM(B4:B174)</f>
        <v>100000</v>
      </c>
      <c r="C175" s="64">
        <f>SUM(C4:C174)</f>
        <v>90000</v>
      </c>
      <c r="D175" s="64">
        <f t="shared" si="5"/>
        <v>30000</v>
      </c>
      <c r="E175" s="64">
        <f t="shared" si="5"/>
        <v>96500</v>
      </c>
      <c r="F175" s="64">
        <f t="shared" si="5"/>
        <v>30000</v>
      </c>
      <c r="G175" s="64">
        <f t="shared" si="5"/>
        <v>0</v>
      </c>
      <c r="H175" s="64">
        <f t="shared" si="5"/>
        <v>0</v>
      </c>
      <c r="I175" s="64">
        <f t="shared" si="5"/>
        <v>150000</v>
      </c>
      <c r="J175" s="64">
        <f t="shared" si="5"/>
        <v>35000</v>
      </c>
      <c r="K175" s="64">
        <f t="shared" si="5"/>
        <v>0</v>
      </c>
      <c r="L175" s="64">
        <f>SUM(L4:L174)</f>
        <v>0</v>
      </c>
      <c r="M175" s="64">
        <f>SUM(M4:M4:M174)</f>
        <v>1079000</v>
      </c>
      <c r="N175" s="64">
        <f t="shared" si="5"/>
        <v>0</v>
      </c>
      <c r="O175" s="64">
        <f t="shared" si="5"/>
        <v>0</v>
      </c>
      <c r="P175" s="64">
        <f t="shared" si="5"/>
        <v>0</v>
      </c>
      <c r="Q175" s="64">
        <f t="shared" si="5"/>
        <v>0</v>
      </c>
      <c r="R175" s="64">
        <f t="shared" si="5"/>
        <v>0</v>
      </c>
    </row>
    <row r="176" spans="1:20" x14ac:dyDescent="0.25">
      <c r="C176" s="313">
        <f>SUM(C175:E175)</f>
        <v>216500</v>
      </c>
      <c r="D176" s="313"/>
      <c r="E176" s="313"/>
      <c r="H176" s="313">
        <f>SUM(H175:I175)</f>
        <v>150000</v>
      </c>
      <c r="I176" s="313"/>
      <c r="J176" s="1">
        <f>J175</f>
        <v>35000</v>
      </c>
      <c r="M176" s="313">
        <f>SUM(M175:P175)</f>
        <v>1079000</v>
      </c>
      <c r="N176" s="313"/>
      <c r="O176" s="313"/>
      <c r="P176" s="313"/>
    </row>
    <row r="179" spans="10:14" x14ac:dyDescent="0.25">
      <c r="J179" s="1" t="s">
        <v>44</v>
      </c>
      <c r="K179" s="1">
        <f>SUM(A175:K175)</f>
        <v>614500</v>
      </c>
      <c r="M179" s="1" t="s">
        <v>87</v>
      </c>
      <c r="N179" s="1">
        <f>MARET!H27</f>
        <v>1079000</v>
      </c>
    </row>
    <row r="180" spans="10:14" x14ac:dyDescent="0.25">
      <c r="J180" s="1" t="s">
        <v>45</v>
      </c>
      <c r="K180" s="1">
        <f>SUM(MARET!H5)</f>
        <v>614500</v>
      </c>
      <c r="M180" s="1" t="s">
        <v>88</v>
      </c>
      <c r="N180" s="1">
        <f>M176</f>
        <v>1079000</v>
      </c>
    </row>
    <row r="181" spans="10:14" x14ac:dyDescent="0.25">
      <c r="J181" s="1" t="s">
        <v>46</v>
      </c>
      <c r="K181" s="1">
        <f>K179-K180</f>
        <v>0</v>
      </c>
      <c r="M181" s="1" t="s">
        <v>89</v>
      </c>
      <c r="N181" s="1">
        <f>N179-N180</f>
        <v>0</v>
      </c>
    </row>
    <row r="225" spans="3:15" x14ac:dyDescent="0.25">
      <c r="C225" s="61"/>
      <c r="D225" s="61"/>
      <c r="G225" s="61"/>
      <c r="H225" s="61"/>
      <c r="L225" s="61"/>
      <c r="M225" s="61"/>
      <c r="N225" s="61"/>
      <c r="O225" s="61"/>
    </row>
    <row r="299" spans="1:2" x14ac:dyDescent="0.25">
      <c r="A299" s="1">
        <f>SUM(A180:A298)</f>
        <v>0</v>
      </c>
      <c r="B299" s="1">
        <f>SUM(B180:B298)</f>
        <v>0</v>
      </c>
    </row>
  </sheetData>
  <mergeCells count="16">
    <mergeCell ref="A1:K1"/>
    <mergeCell ref="Q2:R2"/>
    <mergeCell ref="C176:E176"/>
    <mergeCell ref="H176:I176"/>
    <mergeCell ref="M176:P176"/>
    <mergeCell ref="A2:A3"/>
    <mergeCell ref="B2:B3"/>
    <mergeCell ref="C2:E2"/>
    <mergeCell ref="F2:F3"/>
    <mergeCell ref="G2:G3"/>
    <mergeCell ref="H2:H3"/>
    <mergeCell ref="I2:I3"/>
    <mergeCell ref="J2:J3"/>
    <mergeCell ref="K2:K3"/>
    <mergeCell ref="L2:L3"/>
    <mergeCell ref="M2:P2"/>
  </mergeCells>
  <phoneticPr fontId="57" type="noConversion"/>
  <pageMargins left="0.7" right="0.7" top="0.75" bottom="0.75" header="0.3" footer="0.3"/>
  <pageSetup paperSize="5" orientation="landscape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29"/>
  <sheetViews>
    <sheetView workbookViewId="0">
      <selection activeCell="H30" sqref="H30"/>
    </sheetView>
  </sheetViews>
  <sheetFormatPr defaultRowHeight="15" x14ac:dyDescent="0.25"/>
  <cols>
    <col min="1" max="1" width="14.7109375" customWidth="1"/>
    <col min="2" max="2" width="9.85546875" customWidth="1"/>
    <col min="5" max="5" width="10.5703125" bestFit="1" customWidth="1"/>
    <col min="9" max="9" width="11.7109375" customWidth="1"/>
    <col min="10" max="10" width="11.85546875" customWidth="1"/>
    <col min="11" max="11" width="12" bestFit="1" customWidth="1"/>
    <col min="12" max="12" width="12" customWidth="1"/>
    <col min="13" max="13" width="11.7109375" customWidth="1"/>
    <col min="14" max="14" width="12.42578125" customWidth="1"/>
    <col min="16" max="16" width="13.7109375" customWidth="1"/>
  </cols>
  <sheetData>
    <row r="1" spans="1:16" ht="38.25" x14ac:dyDescent="0.25">
      <c r="A1" s="59" t="s">
        <v>4</v>
      </c>
      <c r="B1" s="59" t="s">
        <v>38</v>
      </c>
      <c r="C1" s="59" t="s">
        <v>50</v>
      </c>
      <c r="D1" s="59" t="s">
        <v>52</v>
      </c>
      <c r="E1" s="59" t="s">
        <v>53</v>
      </c>
      <c r="F1" s="59" t="s">
        <v>54</v>
      </c>
      <c r="G1" s="59" t="s">
        <v>55</v>
      </c>
      <c r="H1" s="59" t="s">
        <v>56</v>
      </c>
      <c r="I1" s="59" t="s">
        <v>57</v>
      </c>
      <c r="J1" s="59" t="s">
        <v>37</v>
      </c>
      <c r="K1" s="59" t="s">
        <v>58</v>
      </c>
      <c r="L1" s="59" t="s">
        <v>59</v>
      </c>
      <c r="M1" s="59" t="s">
        <v>8</v>
      </c>
      <c r="N1" s="59" t="s">
        <v>60</v>
      </c>
    </row>
    <row r="2" spans="1:16" x14ac:dyDescent="0.25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</row>
    <row r="3" spans="1:16" x14ac:dyDescent="0.25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</row>
    <row r="4" spans="1:16" x14ac:dyDescent="0.25">
      <c r="A4" s="60"/>
      <c r="B4" s="60"/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</row>
    <row r="5" spans="1:16" x14ac:dyDescent="0.25">
      <c r="A5" s="60"/>
      <c r="B5" s="60"/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P5" s="47"/>
    </row>
    <row r="6" spans="1:16" x14ac:dyDescent="0.25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P6" s="47"/>
    </row>
    <row r="7" spans="1:16" x14ac:dyDescent="0.25">
      <c r="A7" s="60"/>
      <c r="B7" s="60"/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P7" s="47"/>
    </row>
    <row r="8" spans="1:16" x14ac:dyDescent="0.25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P8" s="47"/>
    </row>
    <row r="9" spans="1:16" x14ac:dyDescent="0.25">
      <c r="A9" s="60"/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P9" s="47"/>
    </row>
    <row r="10" spans="1:16" x14ac:dyDescent="0.25">
      <c r="A10" s="60"/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P10" s="47"/>
    </row>
    <row r="11" spans="1:16" x14ac:dyDescent="0.25">
      <c r="A11" s="60"/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P11" s="47"/>
    </row>
    <row r="12" spans="1:16" x14ac:dyDescent="0.25">
      <c r="A12" s="60"/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P12" s="47"/>
    </row>
    <row r="13" spans="1:16" x14ac:dyDescent="0.25">
      <c r="A13" s="60"/>
      <c r="B13" s="60"/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P13" s="47"/>
    </row>
    <row r="14" spans="1:16" x14ac:dyDescent="0.25">
      <c r="A14" s="60"/>
      <c r="B14" s="60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P14" s="47"/>
    </row>
    <row r="15" spans="1:16" x14ac:dyDescent="0.25">
      <c r="A15" s="60">
        <f>SUM(A2:A7)</f>
        <v>0</v>
      </c>
      <c r="B15" s="60">
        <f t="shared" ref="B15:M15" si="0">SUM(B2:B7)</f>
        <v>0</v>
      </c>
      <c r="C15" s="60">
        <f t="shared" si="0"/>
        <v>0</v>
      </c>
      <c r="D15" s="60">
        <f t="shared" si="0"/>
        <v>0</v>
      </c>
      <c r="E15" s="60">
        <f t="shared" si="0"/>
        <v>0</v>
      </c>
      <c r="F15" s="60">
        <f t="shared" si="0"/>
        <v>0</v>
      </c>
      <c r="G15" s="60">
        <f t="shared" si="0"/>
        <v>0</v>
      </c>
      <c r="H15" s="60">
        <f t="shared" si="0"/>
        <v>0</v>
      </c>
      <c r="I15" s="60">
        <f t="shared" si="0"/>
        <v>0</v>
      </c>
      <c r="J15" s="60">
        <f t="shared" si="0"/>
        <v>0</v>
      </c>
      <c r="K15" s="60">
        <f t="shared" si="0"/>
        <v>0</v>
      </c>
      <c r="L15" s="60">
        <f t="shared" si="0"/>
        <v>0</v>
      </c>
      <c r="M15" s="60">
        <f t="shared" si="0"/>
        <v>0</v>
      </c>
      <c r="N15" s="60">
        <f>SUM(N2:N7)</f>
        <v>0</v>
      </c>
      <c r="P15" s="47"/>
    </row>
    <row r="16" spans="1:16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P16" s="47"/>
    </row>
    <row r="17" spans="1:16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P17" s="47"/>
    </row>
    <row r="18" spans="1:16" x14ac:dyDescent="0.25">
      <c r="A18" s="1"/>
      <c r="B18" s="1"/>
      <c r="C18" s="1"/>
      <c r="D18" s="1" t="s">
        <v>42</v>
      </c>
      <c r="E18" s="320">
        <f>SUM(A15)</f>
        <v>0</v>
      </c>
      <c r="F18" s="320"/>
      <c r="G18" s="1"/>
      <c r="H18" s="1"/>
      <c r="I18" s="1"/>
      <c r="J18" s="1"/>
      <c r="K18" s="1"/>
      <c r="L18" s="1"/>
      <c r="M18" s="1"/>
      <c r="N18" s="1"/>
      <c r="P18" s="47"/>
    </row>
    <row r="19" spans="1:16" x14ac:dyDescent="0.25">
      <c r="A19" s="1"/>
      <c r="B19" s="1"/>
      <c r="C19" s="1"/>
      <c r="D19" s="1" t="s">
        <v>43</v>
      </c>
      <c r="E19" s="320">
        <f>SUM(B15:N15)</f>
        <v>0</v>
      </c>
      <c r="F19" s="320"/>
      <c r="G19" s="1"/>
      <c r="H19" s="1"/>
      <c r="I19" s="1"/>
      <c r="J19" s="1"/>
      <c r="K19" s="1"/>
      <c r="L19" s="1"/>
      <c r="M19" s="1"/>
      <c r="N19" s="1"/>
      <c r="P19" s="47"/>
    </row>
    <row r="20" spans="1:16" x14ac:dyDescent="0.25">
      <c r="P20" s="47"/>
    </row>
    <row r="21" spans="1:16" x14ac:dyDescent="0.25">
      <c r="P21" s="47"/>
    </row>
    <row r="22" spans="1:16" x14ac:dyDescent="0.25">
      <c r="P22" s="47"/>
    </row>
    <row r="23" spans="1:16" x14ac:dyDescent="0.25">
      <c r="P23" s="47"/>
    </row>
    <row r="24" spans="1:16" x14ac:dyDescent="0.25">
      <c r="P24" s="65"/>
    </row>
    <row r="25" spans="1:16" x14ac:dyDescent="0.25">
      <c r="P25" s="56"/>
    </row>
    <row r="26" spans="1:16" x14ac:dyDescent="0.25">
      <c r="P26" s="56"/>
    </row>
    <row r="27" spans="1:16" x14ac:dyDescent="0.25">
      <c r="P27" s="65"/>
    </row>
    <row r="28" spans="1:16" x14ac:dyDescent="0.25">
      <c r="P28" s="65"/>
    </row>
    <row r="29" spans="1:16" x14ac:dyDescent="0.25">
      <c r="P29" s="65"/>
    </row>
  </sheetData>
  <mergeCells count="2">
    <mergeCell ref="E18:F18"/>
    <mergeCell ref="E19:F1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3"/>
  <sheetViews>
    <sheetView topLeftCell="A2" workbookViewId="0">
      <selection activeCell="C37" sqref="C36:C37"/>
    </sheetView>
  </sheetViews>
  <sheetFormatPr defaultRowHeight="15" x14ac:dyDescent="0.25"/>
  <cols>
    <col min="1" max="1" width="15.5703125" customWidth="1"/>
    <col min="2" max="2" width="12" customWidth="1"/>
    <col min="3" max="3" width="14.28515625" customWidth="1"/>
    <col min="4" max="4" width="13.5703125" customWidth="1"/>
    <col min="5" max="5" width="11.7109375" customWidth="1"/>
    <col min="6" max="6" width="13.85546875" customWidth="1"/>
    <col min="7" max="7" width="10.7109375" customWidth="1"/>
    <col min="8" max="8" width="18.42578125" customWidth="1"/>
    <col min="9" max="9" width="13.28515625" customWidth="1"/>
  </cols>
  <sheetData>
    <row r="1" spans="1:9" ht="25.5" x14ac:dyDescent="0.25">
      <c r="A1" s="70" t="s">
        <v>4</v>
      </c>
      <c r="B1" s="70" t="s">
        <v>34</v>
      </c>
      <c r="C1" s="70" t="s">
        <v>49</v>
      </c>
      <c r="D1" s="70" t="s">
        <v>35</v>
      </c>
      <c r="E1" s="70" t="s">
        <v>41</v>
      </c>
      <c r="F1" s="70" t="s">
        <v>38</v>
      </c>
      <c r="G1" s="70" t="s">
        <v>50</v>
      </c>
      <c r="H1" s="70" t="s">
        <v>51</v>
      </c>
      <c r="I1" s="70"/>
    </row>
    <row r="2" spans="1:9" x14ac:dyDescent="0.25">
      <c r="A2" s="71"/>
      <c r="B2" s="71"/>
      <c r="C2" s="71"/>
      <c r="D2" s="71"/>
      <c r="E2" s="71"/>
      <c r="F2" s="71"/>
      <c r="G2" s="71"/>
      <c r="H2" s="71"/>
      <c r="I2" s="71"/>
    </row>
    <row r="3" spans="1:9" x14ac:dyDescent="0.25">
      <c r="A3" s="71"/>
      <c r="B3" s="71"/>
      <c r="C3" s="71"/>
      <c r="D3" s="71"/>
      <c r="E3" s="71"/>
      <c r="F3" s="71"/>
      <c r="G3" s="71"/>
      <c r="H3" s="71"/>
      <c r="I3" s="71"/>
    </row>
    <row r="4" spans="1:9" x14ac:dyDescent="0.25">
      <c r="A4" s="71"/>
      <c r="B4" s="71"/>
      <c r="C4" s="71"/>
      <c r="D4" s="71"/>
      <c r="E4" s="71"/>
      <c r="F4" s="71"/>
      <c r="G4" s="71"/>
      <c r="H4" s="71"/>
      <c r="I4" s="71"/>
    </row>
    <row r="5" spans="1:9" x14ac:dyDescent="0.25">
      <c r="A5" s="71"/>
      <c r="B5" s="71"/>
      <c r="C5" s="71"/>
      <c r="D5" s="71"/>
      <c r="E5" s="71"/>
      <c r="F5" s="71"/>
      <c r="G5" s="71"/>
      <c r="H5" s="71"/>
      <c r="I5" s="71"/>
    </row>
    <row r="6" spans="1:9" x14ac:dyDescent="0.25">
      <c r="A6" s="71"/>
      <c r="B6" s="71"/>
      <c r="C6" s="71"/>
      <c r="D6" s="71"/>
      <c r="E6" s="71"/>
      <c r="F6" s="71"/>
      <c r="G6" s="71"/>
      <c r="H6" s="71"/>
      <c r="I6" s="71"/>
    </row>
    <row r="7" spans="1:9" x14ac:dyDescent="0.25">
      <c r="A7" s="71"/>
      <c r="B7" s="71"/>
      <c r="C7" s="71"/>
      <c r="D7" s="71"/>
      <c r="E7" s="71"/>
      <c r="F7" s="71"/>
      <c r="G7" s="71"/>
      <c r="H7" s="71"/>
      <c r="I7" s="71"/>
    </row>
    <row r="8" spans="1:9" x14ac:dyDescent="0.25">
      <c r="A8" s="71"/>
      <c r="B8" s="71"/>
      <c r="C8" s="71"/>
      <c r="D8" s="71"/>
      <c r="E8" s="71"/>
      <c r="F8" s="71"/>
      <c r="G8" s="71"/>
      <c r="H8" s="71"/>
      <c r="I8" s="71"/>
    </row>
    <row r="9" spans="1:9" x14ac:dyDescent="0.25">
      <c r="A9" s="60">
        <f>SUM(A2:A8)</f>
        <v>0</v>
      </c>
      <c r="B9" s="60">
        <f t="shared" ref="B9:H9" si="0">SUM(B2:B8)</f>
        <v>0</v>
      </c>
      <c r="C9" s="60">
        <f t="shared" si="0"/>
        <v>0</v>
      </c>
      <c r="D9" s="60">
        <f t="shared" si="0"/>
        <v>0</v>
      </c>
      <c r="E9" s="60">
        <f t="shared" si="0"/>
        <v>0</v>
      </c>
      <c r="F9" s="60">
        <f t="shared" si="0"/>
        <v>0</v>
      </c>
      <c r="G9" s="60">
        <f t="shared" si="0"/>
        <v>0</v>
      </c>
      <c r="H9" s="60">
        <f t="shared" si="0"/>
        <v>0</v>
      </c>
      <c r="I9" s="60">
        <f>SUM(I2:I8)</f>
        <v>0</v>
      </c>
    </row>
    <row r="10" spans="1:9" x14ac:dyDescent="0.25">
      <c r="A10" s="1"/>
      <c r="B10" s="1"/>
      <c r="C10" s="1"/>
      <c r="D10" s="1"/>
      <c r="E10" s="1"/>
      <c r="F10" s="1"/>
      <c r="G10" s="1"/>
      <c r="H10" s="1"/>
      <c r="I10" s="1"/>
    </row>
    <row r="11" spans="1:9" x14ac:dyDescent="0.25">
      <c r="A11" s="1"/>
      <c r="B11" s="1"/>
      <c r="C11" s="1"/>
      <c r="D11" s="1"/>
      <c r="E11" s="1"/>
      <c r="F11" s="1"/>
      <c r="G11" s="1"/>
      <c r="H11" s="1"/>
      <c r="I11" s="1"/>
    </row>
    <row r="12" spans="1:9" x14ac:dyDescent="0.25">
      <c r="A12" s="1"/>
      <c r="B12" s="1"/>
      <c r="C12" s="1"/>
      <c r="D12" s="1" t="s">
        <v>42</v>
      </c>
      <c r="E12" s="320">
        <f>SUM(A9)</f>
        <v>0</v>
      </c>
      <c r="F12" s="320"/>
      <c r="G12" s="1"/>
      <c r="H12" s="1"/>
      <c r="I12" s="1"/>
    </row>
    <row r="13" spans="1:9" x14ac:dyDescent="0.25">
      <c r="A13" s="1"/>
      <c r="B13" s="1"/>
      <c r="C13" s="1"/>
      <c r="D13" s="1" t="s">
        <v>43</v>
      </c>
      <c r="E13" s="320">
        <f>SUM(B9:I9)</f>
        <v>0</v>
      </c>
      <c r="F13" s="320"/>
      <c r="G13" s="1"/>
      <c r="H13" s="1"/>
      <c r="I13" s="1"/>
    </row>
  </sheetData>
  <mergeCells count="2">
    <mergeCell ref="E12:F12"/>
    <mergeCell ref="E13:F1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4:P35"/>
  <sheetViews>
    <sheetView workbookViewId="0">
      <selection activeCell="J28" sqref="J28"/>
    </sheetView>
  </sheetViews>
  <sheetFormatPr defaultRowHeight="15" x14ac:dyDescent="0.25"/>
  <cols>
    <col min="2" max="2" width="2.5703125" customWidth="1"/>
    <col min="4" max="4" width="12.28515625" customWidth="1"/>
    <col min="5" max="5" width="1.28515625" customWidth="1"/>
    <col min="6" max="6" width="18.140625" customWidth="1"/>
    <col min="7" max="7" width="15.5703125" bestFit="1" customWidth="1"/>
    <col min="10" max="10" width="12.85546875" style="146" bestFit="1" customWidth="1"/>
    <col min="13" max="13" width="12.85546875" style="146" bestFit="1" customWidth="1"/>
    <col min="14" max="14" width="14" style="146" bestFit="1" customWidth="1"/>
    <col min="16" max="16" width="13.28515625" style="146" customWidth="1"/>
  </cols>
  <sheetData>
    <row r="4" spans="2:16" x14ac:dyDescent="0.25">
      <c r="B4" s="168" t="s">
        <v>103</v>
      </c>
      <c r="C4" s="168"/>
      <c r="D4" s="168"/>
      <c r="E4" s="168"/>
      <c r="F4" s="168"/>
      <c r="G4" s="168"/>
      <c r="H4" s="168"/>
    </row>
    <row r="5" spans="2:16" x14ac:dyDescent="0.25">
      <c r="I5">
        <v>1</v>
      </c>
      <c r="J5" s="146">
        <v>100000</v>
      </c>
    </row>
    <row r="6" spans="2:16" x14ac:dyDescent="0.25">
      <c r="B6" t="s">
        <v>104</v>
      </c>
      <c r="C6" t="s">
        <v>110</v>
      </c>
      <c r="E6" t="s">
        <v>114</v>
      </c>
      <c r="F6" s="165">
        <v>30000</v>
      </c>
      <c r="I6">
        <v>2</v>
      </c>
      <c r="J6" s="146">
        <v>100000</v>
      </c>
      <c r="M6" s="146">
        <v>249000</v>
      </c>
      <c r="N6" s="146">
        <f>M6*5</f>
        <v>1245000</v>
      </c>
    </row>
    <row r="7" spans="2:16" x14ac:dyDescent="0.25">
      <c r="B7" t="s">
        <v>105</v>
      </c>
      <c r="C7" t="s">
        <v>35</v>
      </c>
      <c r="E7" t="s">
        <v>114</v>
      </c>
      <c r="F7" s="165">
        <v>50000</v>
      </c>
      <c r="I7">
        <v>3</v>
      </c>
      <c r="J7" s="146">
        <v>100000</v>
      </c>
      <c r="M7" s="146">
        <v>23000</v>
      </c>
      <c r="N7" s="146">
        <f t="shared" ref="N7:N8" si="0">M7*5</f>
        <v>115000</v>
      </c>
    </row>
    <row r="8" spans="2:16" x14ac:dyDescent="0.25">
      <c r="B8" t="s">
        <v>106</v>
      </c>
      <c r="C8" t="s">
        <v>111</v>
      </c>
      <c r="E8" t="s">
        <v>114</v>
      </c>
      <c r="F8" s="165">
        <v>2186000</v>
      </c>
      <c r="I8">
        <v>4</v>
      </c>
      <c r="J8" s="146">
        <v>200000</v>
      </c>
      <c r="M8" s="146">
        <v>49500</v>
      </c>
      <c r="N8" s="146">
        <f t="shared" si="0"/>
        <v>247500</v>
      </c>
    </row>
    <row r="9" spans="2:16" x14ac:dyDescent="0.25">
      <c r="B9" t="s">
        <v>107</v>
      </c>
      <c r="C9" t="s">
        <v>8</v>
      </c>
      <c r="E9" t="s">
        <v>114</v>
      </c>
      <c r="F9" s="165">
        <v>50000</v>
      </c>
      <c r="G9" s="166">
        <f>SUM(F6:F9)</f>
        <v>2316000</v>
      </c>
      <c r="I9">
        <v>5</v>
      </c>
      <c r="J9" s="146">
        <v>50000</v>
      </c>
      <c r="M9" s="146">
        <v>75000</v>
      </c>
      <c r="N9" s="146">
        <f>M9*5</f>
        <v>375000</v>
      </c>
    </row>
    <row r="10" spans="2:16" x14ac:dyDescent="0.25">
      <c r="B10" t="s">
        <v>108</v>
      </c>
      <c r="C10" t="s">
        <v>112</v>
      </c>
      <c r="E10" t="s">
        <v>114</v>
      </c>
      <c r="F10" s="165">
        <v>10000</v>
      </c>
      <c r="I10">
        <v>6</v>
      </c>
      <c r="J10" s="146">
        <v>50000</v>
      </c>
    </row>
    <row r="11" spans="2:16" x14ac:dyDescent="0.25">
      <c r="B11" t="s">
        <v>109</v>
      </c>
      <c r="C11" t="s">
        <v>113</v>
      </c>
      <c r="E11" t="s">
        <v>114</v>
      </c>
      <c r="F11" s="167">
        <v>10000</v>
      </c>
      <c r="G11" t="s">
        <v>115</v>
      </c>
      <c r="I11">
        <v>7</v>
      </c>
      <c r="J11" s="146">
        <v>50000</v>
      </c>
      <c r="N11" s="146">
        <v>375000</v>
      </c>
      <c r="P11" s="146">
        <v>75000</v>
      </c>
    </row>
    <row r="12" spans="2:16" x14ac:dyDescent="0.25">
      <c r="C12" t="s">
        <v>36</v>
      </c>
      <c r="F12" s="166">
        <f>SUM(F6:F11)</f>
        <v>2336000</v>
      </c>
      <c r="I12">
        <v>8</v>
      </c>
      <c r="J12" s="146">
        <v>100000</v>
      </c>
      <c r="N12" s="146">
        <v>1607500</v>
      </c>
      <c r="P12" s="146">
        <v>321500</v>
      </c>
    </row>
    <row r="13" spans="2:16" x14ac:dyDescent="0.25">
      <c r="I13">
        <v>9</v>
      </c>
      <c r="J13" s="146">
        <v>100000</v>
      </c>
      <c r="N13" s="146">
        <v>1607500</v>
      </c>
      <c r="P13" s="146">
        <v>321500</v>
      </c>
    </row>
    <row r="14" spans="2:16" x14ac:dyDescent="0.25">
      <c r="I14">
        <v>10</v>
      </c>
      <c r="J14" s="146">
        <v>50000</v>
      </c>
      <c r="N14" s="146">
        <v>375000</v>
      </c>
      <c r="P14" s="146">
        <v>75000</v>
      </c>
    </row>
    <row r="15" spans="2:16" x14ac:dyDescent="0.25">
      <c r="D15" t="s">
        <v>116</v>
      </c>
      <c r="F15" s="146">
        <v>944000</v>
      </c>
      <c r="I15">
        <v>11</v>
      </c>
      <c r="J15" s="146">
        <v>50000</v>
      </c>
      <c r="N15" s="146">
        <v>375000</v>
      </c>
      <c r="P15" s="146">
        <v>75000</v>
      </c>
    </row>
    <row r="16" spans="2:16" x14ac:dyDescent="0.25">
      <c r="D16" t="s">
        <v>112</v>
      </c>
      <c r="F16" s="146">
        <v>10000</v>
      </c>
      <c r="I16">
        <v>12</v>
      </c>
      <c r="J16" s="146">
        <v>250000</v>
      </c>
      <c r="N16" s="146">
        <v>375000</v>
      </c>
      <c r="P16" s="146">
        <v>75000</v>
      </c>
    </row>
    <row r="17" spans="3:16" x14ac:dyDescent="0.25">
      <c r="D17" t="s">
        <v>113</v>
      </c>
      <c r="F17" s="146">
        <v>10000</v>
      </c>
      <c r="I17">
        <v>13</v>
      </c>
      <c r="J17" s="146">
        <v>100000</v>
      </c>
      <c r="N17" s="146">
        <v>1607500</v>
      </c>
      <c r="P17" s="146">
        <v>321500</v>
      </c>
    </row>
    <row r="18" spans="3:16" x14ac:dyDescent="0.25">
      <c r="F18" s="147">
        <f>SUM(F15-F16-F17)</f>
        <v>924000</v>
      </c>
      <c r="G18" t="s">
        <v>117</v>
      </c>
      <c r="I18">
        <v>14</v>
      </c>
      <c r="J18" s="146">
        <v>100000</v>
      </c>
      <c r="N18" s="146">
        <v>375000</v>
      </c>
      <c r="P18" s="146">
        <v>75000</v>
      </c>
    </row>
    <row r="19" spans="3:16" x14ac:dyDescent="0.25">
      <c r="I19">
        <v>15</v>
      </c>
      <c r="J19" s="146">
        <v>50000</v>
      </c>
      <c r="N19" s="146">
        <v>80000</v>
      </c>
      <c r="P19" s="146">
        <v>80000</v>
      </c>
    </row>
    <row r="20" spans="3:16" x14ac:dyDescent="0.25">
      <c r="I20">
        <v>16</v>
      </c>
      <c r="J20" s="146">
        <v>50000</v>
      </c>
      <c r="N20" s="146">
        <f>SUM(N11:N19)</f>
        <v>6777500</v>
      </c>
      <c r="P20" s="146">
        <f>SUM(P11:P19)</f>
        <v>1419500</v>
      </c>
    </row>
    <row r="21" spans="3:16" x14ac:dyDescent="0.25">
      <c r="I21">
        <v>17</v>
      </c>
      <c r="J21" s="146">
        <v>50000</v>
      </c>
    </row>
    <row r="22" spans="3:16" x14ac:dyDescent="0.25">
      <c r="C22" t="s">
        <v>119</v>
      </c>
      <c r="I22">
        <v>18</v>
      </c>
      <c r="J22" s="146">
        <v>30000</v>
      </c>
      <c r="P22" s="146">
        <f>N20+P20</f>
        <v>8197000</v>
      </c>
    </row>
    <row r="23" spans="3:16" x14ac:dyDescent="0.25">
      <c r="F23" s="146">
        <v>30000</v>
      </c>
      <c r="I23">
        <v>19</v>
      </c>
      <c r="J23" s="146">
        <v>30000</v>
      </c>
    </row>
    <row r="24" spans="3:16" x14ac:dyDescent="0.25">
      <c r="F24" s="146">
        <v>50000</v>
      </c>
      <c r="I24">
        <v>20</v>
      </c>
      <c r="J24" s="146">
        <v>30000</v>
      </c>
    </row>
    <row r="25" spans="3:16" x14ac:dyDescent="0.25">
      <c r="F25" s="146">
        <v>70000</v>
      </c>
      <c r="I25">
        <v>21</v>
      </c>
      <c r="J25" s="146">
        <v>30000</v>
      </c>
    </row>
    <row r="26" spans="3:16" x14ac:dyDescent="0.25">
      <c r="F26" s="146">
        <v>10000</v>
      </c>
      <c r="I26">
        <v>22</v>
      </c>
      <c r="J26" s="146">
        <v>50000</v>
      </c>
    </row>
    <row r="27" spans="3:16" x14ac:dyDescent="0.25">
      <c r="F27" s="146">
        <v>3081500</v>
      </c>
      <c r="J27" s="146">
        <f>SUM(J5:J26)</f>
        <v>1720000</v>
      </c>
    </row>
    <row r="28" spans="3:16" x14ac:dyDescent="0.25">
      <c r="F28" s="146">
        <v>750000</v>
      </c>
    </row>
    <row r="29" spans="3:16" x14ac:dyDescent="0.25">
      <c r="F29" s="146">
        <v>10000</v>
      </c>
      <c r="G29" s="147">
        <f>SUM(F23:F28)</f>
        <v>3991500</v>
      </c>
    </row>
    <row r="30" spans="3:16" x14ac:dyDescent="0.25">
      <c r="F30" s="146">
        <v>10000</v>
      </c>
    </row>
    <row r="31" spans="3:16" x14ac:dyDescent="0.25">
      <c r="F31" s="146">
        <f>SUM(F23:F30)</f>
        <v>4011500</v>
      </c>
    </row>
    <row r="32" spans="3:16" x14ac:dyDescent="0.25">
      <c r="F32" s="146"/>
    </row>
    <row r="33" spans="6:6" x14ac:dyDescent="0.25">
      <c r="F33" s="146"/>
    </row>
    <row r="34" spans="6:6" x14ac:dyDescent="0.25">
      <c r="F34" s="146"/>
    </row>
    <row r="35" spans="6:6" x14ac:dyDescent="0.25">
      <c r="F35" s="146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G14"/>
  <sheetViews>
    <sheetView workbookViewId="0">
      <selection activeCell="F31" sqref="F31"/>
    </sheetView>
  </sheetViews>
  <sheetFormatPr defaultRowHeight="15" x14ac:dyDescent="0.25"/>
  <cols>
    <col min="3" max="3" width="28.85546875" customWidth="1"/>
    <col min="4" max="4" width="35.140625" style="146" customWidth="1"/>
    <col min="6" max="6" width="27.5703125" customWidth="1"/>
    <col min="7" max="7" width="12.85546875" style="146" bestFit="1" customWidth="1"/>
  </cols>
  <sheetData>
    <row r="1" spans="2:6" x14ac:dyDescent="0.25">
      <c r="B1" t="s">
        <v>39</v>
      </c>
      <c r="C1" t="s">
        <v>130</v>
      </c>
    </row>
    <row r="2" spans="2:6" x14ac:dyDescent="0.25">
      <c r="C2" t="s">
        <v>122</v>
      </c>
      <c r="D2" s="146">
        <v>2360000</v>
      </c>
    </row>
    <row r="3" spans="2:6" x14ac:dyDescent="0.25">
      <c r="C3" t="s">
        <v>123</v>
      </c>
      <c r="D3" s="146">
        <v>2360000</v>
      </c>
    </row>
    <row r="4" spans="2:6" x14ac:dyDescent="0.25">
      <c r="D4" s="146">
        <f>SUM(D2:D3)</f>
        <v>4720000</v>
      </c>
    </row>
    <row r="7" spans="2:6" x14ac:dyDescent="0.25">
      <c r="C7" t="s">
        <v>124</v>
      </c>
      <c r="D7" s="146">
        <v>50000</v>
      </c>
    </row>
    <row r="8" spans="2:6" x14ac:dyDescent="0.25">
      <c r="C8" t="s">
        <v>125</v>
      </c>
      <c r="D8" s="146">
        <v>50000</v>
      </c>
    </row>
    <row r="9" spans="2:6" x14ac:dyDescent="0.25">
      <c r="C9" t="s">
        <v>126</v>
      </c>
      <c r="D9" s="146">
        <v>50000</v>
      </c>
    </row>
    <row r="10" spans="2:6" x14ac:dyDescent="0.25">
      <c r="C10" t="s">
        <v>8</v>
      </c>
      <c r="D10" s="146">
        <v>320000</v>
      </c>
    </row>
    <row r="11" spans="2:6" x14ac:dyDescent="0.25">
      <c r="C11" t="s">
        <v>127</v>
      </c>
      <c r="D11" s="146">
        <v>1637000</v>
      </c>
    </row>
    <row r="12" spans="2:6" x14ac:dyDescent="0.25">
      <c r="C12" t="s">
        <v>129</v>
      </c>
      <c r="D12" s="146">
        <v>150000</v>
      </c>
    </row>
    <row r="13" spans="2:6" x14ac:dyDescent="0.25">
      <c r="C13" t="s">
        <v>128</v>
      </c>
      <c r="D13" s="146">
        <v>228000</v>
      </c>
    </row>
    <row r="14" spans="2:6" x14ac:dyDescent="0.25">
      <c r="D14" s="146">
        <f>SUM(D5:D13)</f>
        <v>2485000</v>
      </c>
      <c r="E14" t="s">
        <v>63</v>
      </c>
      <c r="F14" s="147">
        <f>D4-D14</f>
        <v>2235000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D3:G20"/>
  <sheetViews>
    <sheetView workbookViewId="0">
      <selection activeCell="I21" sqref="I21"/>
    </sheetView>
  </sheetViews>
  <sheetFormatPr defaultRowHeight="15" x14ac:dyDescent="0.25"/>
  <cols>
    <col min="4" max="6" width="12.85546875" style="146" bestFit="1" customWidth="1"/>
    <col min="7" max="7" width="12.85546875" bestFit="1" customWidth="1"/>
  </cols>
  <sheetData>
    <row r="3" spans="4:7" x14ac:dyDescent="0.25">
      <c r="D3" s="146" t="s">
        <v>134</v>
      </c>
      <c r="E3" s="146" t="s">
        <v>135</v>
      </c>
    </row>
    <row r="5" spans="4:7" x14ac:dyDescent="0.25">
      <c r="D5" s="146">
        <v>555000</v>
      </c>
    </row>
    <row r="6" spans="4:7" x14ac:dyDescent="0.25">
      <c r="D6" s="146">
        <v>300000</v>
      </c>
    </row>
    <row r="7" spans="4:7" x14ac:dyDescent="0.25">
      <c r="D7" s="146">
        <v>228000</v>
      </c>
    </row>
    <row r="8" spans="4:7" x14ac:dyDescent="0.25">
      <c r="D8" s="146">
        <v>2754200</v>
      </c>
    </row>
    <row r="9" spans="4:7" x14ac:dyDescent="0.25">
      <c r="E9" s="146">
        <v>1460000</v>
      </c>
    </row>
    <row r="10" spans="4:7" x14ac:dyDescent="0.25">
      <c r="D10" s="146">
        <v>1500000</v>
      </c>
    </row>
    <row r="11" spans="4:7" x14ac:dyDescent="0.25">
      <c r="D11" s="146">
        <v>300000</v>
      </c>
    </row>
    <row r="12" spans="4:7" x14ac:dyDescent="0.25">
      <c r="D12" s="146">
        <v>1600000</v>
      </c>
    </row>
    <row r="13" spans="4:7" x14ac:dyDescent="0.25">
      <c r="E13" s="146">
        <v>1765460</v>
      </c>
      <c r="G13" s="147"/>
    </row>
    <row r="14" spans="4:7" x14ac:dyDescent="0.25">
      <c r="E14" s="146">
        <v>1971000</v>
      </c>
      <c r="G14" s="147"/>
    </row>
    <row r="15" spans="4:7" x14ac:dyDescent="0.25">
      <c r="E15" s="146">
        <v>1000000</v>
      </c>
      <c r="G15" s="147"/>
    </row>
    <row r="16" spans="4:7" x14ac:dyDescent="0.25">
      <c r="D16" s="146">
        <v>1053270</v>
      </c>
    </row>
    <row r="18" spans="4:5" x14ac:dyDescent="0.25">
      <c r="D18" s="146">
        <f>SUM(D5:D17)</f>
        <v>8290470</v>
      </c>
      <c r="E18" s="146">
        <f>SUM(E5:E17)</f>
        <v>6196460</v>
      </c>
    </row>
    <row r="20" spans="4:5" x14ac:dyDescent="0.25">
      <c r="E20" s="203">
        <f>D18-E18</f>
        <v>2094010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3</vt:i4>
      </vt:variant>
    </vt:vector>
  </HeadingPairs>
  <TitlesOfParts>
    <vt:vector size="11" baseType="lpstr">
      <vt:lpstr>MARET</vt:lpstr>
      <vt:lpstr>LAP MARET</vt:lpstr>
      <vt:lpstr>REKAP</vt:lpstr>
      <vt:lpstr>EKS</vt:lpstr>
      <vt:lpstr>KONSINYATIE</vt:lpstr>
      <vt:lpstr>Sheet1</vt:lpstr>
      <vt:lpstr>Sheet2</vt:lpstr>
      <vt:lpstr>Sheet3</vt:lpstr>
      <vt:lpstr>'LAP MARET'!Print_Area</vt:lpstr>
      <vt:lpstr>MARET!Print_Area</vt:lpstr>
      <vt:lpstr>REKAP!Print_Area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</dc:creator>
  <cp:lastModifiedBy>PN Natuna</cp:lastModifiedBy>
  <cp:lastPrinted>2026-02-27T04:47:13Z</cp:lastPrinted>
  <dcterms:created xsi:type="dcterms:W3CDTF">2016-06-24T21:42:19Z</dcterms:created>
  <dcterms:modified xsi:type="dcterms:W3CDTF">2026-04-01T01:24:32Z</dcterms:modified>
</cp:coreProperties>
</file>